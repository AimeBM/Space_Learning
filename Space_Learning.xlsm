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mc:AlternateContent xmlns:mc="http://schemas.openxmlformats.org/markup-compatibility/2006">
    <mc:Choice Requires="x15">
      <x15ac:absPath xmlns:x15ac="http://schemas.microsoft.com/office/spreadsheetml/2010/11/ac" url="C:\Users\LENOVO\Documents\GBAKI  CONVIVIALITE AS 2022-2023\SEMESTRE 2\EXCEL AVANCE\PROJET\PROJET VBA 2021\VBA_AS1B_2021-2022\"/>
    </mc:Choice>
  </mc:AlternateContent>
  <xr:revisionPtr revIDLastSave="0" documentId="13_ncr:1_{43EEE5C9-A2EB-40F9-9787-E2BBF76CDED9}" xr6:coauthVersionLast="47" xr6:coauthVersionMax="47" xr10:uidLastSave="{00000000-0000-0000-0000-000000000000}"/>
  <bookViews>
    <workbookView xWindow="-108" yWindow="-108" windowWidth="23256" windowHeight="12576" xr2:uid="{00000000-000D-0000-FFFF-FFFF00000000}"/>
  </bookViews>
  <sheets>
    <sheet name="Page" sheetId="5" r:id="rId1"/>
    <sheet name="Inscription" sheetId="6" state="hidden" r:id="rId2"/>
    <sheet name="Base_de_données" sheetId="7" state="hidden" r:id="rId3"/>
    <sheet name="Analyse" sheetId="12" state="hidden" r:id="rId4"/>
    <sheet name="Programme_de_cours" sheetId="1" state="hidden" r:id="rId5"/>
    <sheet name="Programme_semaine" sheetId="2" state="hidden" r:id="rId6"/>
    <sheet name="Progression" sheetId="8" state="hidden" r:id="rId7"/>
    <sheet name="Lecture" sheetId="9" state="hidden" r:id="rId8"/>
  </sheets>
  <definedNames>
    <definedName name="Jour_semaine">Programme_semaine!$B$9:$H$9</definedName>
    <definedName name="Matieres_prog">Programme_semaine!$A$10:$H$15</definedName>
    <definedName name="Segment_Modules">#N/A</definedName>
  </definedNames>
  <calcPr calcId="191029"/>
  <pivotCaches>
    <pivotCache cacheId="5"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2" l="1"/>
  <c r="G16" i="9" l="1"/>
  <c r="M2" i="1" l="1"/>
  <c r="S2" i="1" l="1"/>
  <c r="T2" i="1"/>
  <c r="G2" i="1"/>
  <c r="F2" i="1"/>
  <c r="E2" i="1"/>
  <c r="D2" i="1"/>
  <c r="AC1" i="1"/>
  <c r="R2" i="1" l="1"/>
  <c r="E20" i="12" l="1"/>
  <c r="F20" i="12"/>
  <c r="K11" i="8"/>
  <c r="Q2" i="1"/>
  <c r="O2" i="1"/>
  <c r="P2" i="1"/>
  <c r="N2" i="1"/>
  <c r="C20" i="12"/>
  <c r="L15" i="9" l="1"/>
  <c r="F20" i="9" l="1"/>
  <c r="G20" i="9" s="1"/>
  <c r="F19" i="9"/>
  <c r="G19" i="9" s="1"/>
  <c r="F18" i="9"/>
  <c r="G18" i="9" s="1"/>
  <c r="F17" i="9"/>
  <c r="G17" i="9" s="1"/>
  <c r="J23" i="6" l="1"/>
  <c r="B9" i="2" l="1"/>
  <c r="C7" i="2" s="1"/>
  <c r="C9" i="2" l="1"/>
  <c r="D9" i="2" s="1"/>
  <c r="E9" i="2" s="1"/>
  <c r="F9" i="2" l="1"/>
  <c r="G9" i="2" s="1"/>
  <c r="H9" i="2" s="1"/>
  <c r="H7" i="2" s="1"/>
</calcChain>
</file>

<file path=xl/sharedStrings.xml><?xml version="1.0" encoding="utf-8"?>
<sst xmlns="http://schemas.openxmlformats.org/spreadsheetml/2006/main" count="210" uniqueCount="179">
  <si>
    <t>Intitulés de cours</t>
  </si>
  <si>
    <t>j3</t>
  </si>
  <si>
    <t>j10</t>
  </si>
  <si>
    <t>j30</t>
  </si>
  <si>
    <t>j60</t>
  </si>
  <si>
    <t>Année:</t>
  </si>
  <si>
    <t>Lundi</t>
  </si>
  <si>
    <t>Mardi</t>
  </si>
  <si>
    <t>Mercredi</t>
  </si>
  <si>
    <t>Jeudi</t>
  </si>
  <si>
    <t>Vendredi</t>
  </si>
  <si>
    <t>Samedi</t>
  </si>
  <si>
    <t>Dimanche</t>
  </si>
  <si>
    <t>Mois:</t>
  </si>
  <si>
    <t>SPACE LEARNING</t>
  </si>
  <si>
    <t>Bienvenue sur Space Learning !</t>
  </si>
  <si>
    <t>CONNEXION</t>
  </si>
  <si>
    <t>S'INSCRIRE</t>
  </si>
  <si>
    <t>INSCRIPTION</t>
  </si>
  <si>
    <t>Nom(s):</t>
  </si>
  <si>
    <t>Prénom(s):</t>
  </si>
  <si>
    <t>Sexe:</t>
  </si>
  <si>
    <t>Masculin</t>
  </si>
  <si>
    <t>Féminin</t>
  </si>
  <si>
    <t>Informations Sur les Disciplines</t>
  </si>
  <si>
    <t>Discipline</t>
  </si>
  <si>
    <t>Jour de début(jj/mm/aaaa)</t>
  </si>
  <si>
    <t>ENREGISTRER</t>
  </si>
  <si>
    <t>Ajouter la discipline</t>
  </si>
  <si>
    <t>FERMER</t>
  </si>
  <si>
    <t>Nom(s)</t>
  </si>
  <si>
    <t>Utilisateur</t>
  </si>
  <si>
    <t>Sexe</t>
  </si>
  <si>
    <t>D1</t>
  </si>
  <si>
    <t>Début D1</t>
  </si>
  <si>
    <t>D2</t>
  </si>
  <si>
    <t>Début D2</t>
  </si>
  <si>
    <t>D3</t>
  </si>
  <si>
    <t>Début D3</t>
  </si>
  <si>
    <t>D4</t>
  </si>
  <si>
    <t>Début D4</t>
  </si>
  <si>
    <t>D5</t>
  </si>
  <si>
    <t>Début D5</t>
  </si>
  <si>
    <t>D6</t>
  </si>
  <si>
    <t>Début D6</t>
  </si>
  <si>
    <t>D7</t>
  </si>
  <si>
    <t>Début D7</t>
  </si>
  <si>
    <t>D8</t>
  </si>
  <si>
    <t>Début D8</t>
  </si>
  <si>
    <t>D9</t>
  </si>
  <si>
    <t>Début D9</t>
  </si>
  <si>
    <t>D10</t>
  </si>
  <si>
    <t>Début D10</t>
  </si>
  <si>
    <t>D11</t>
  </si>
  <si>
    <t>Début D11</t>
  </si>
  <si>
    <t>D12</t>
  </si>
  <si>
    <t>Début D12</t>
  </si>
  <si>
    <t>D13</t>
  </si>
  <si>
    <t>Début D13</t>
  </si>
  <si>
    <t>D14</t>
  </si>
  <si>
    <t>Début D14</t>
  </si>
  <si>
    <t>D15</t>
  </si>
  <si>
    <t>Début D15</t>
  </si>
  <si>
    <t>D16</t>
  </si>
  <si>
    <t>Début D16</t>
  </si>
  <si>
    <t>D17</t>
  </si>
  <si>
    <t>Début D17</t>
  </si>
  <si>
    <t>D18</t>
  </si>
  <si>
    <t>Début D18</t>
  </si>
  <si>
    <t>D19</t>
  </si>
  <si>
    <t>Début D19</t>
  </si>
  <si>
    <t>D20</t>
  </si>
  <si>
    <t>Début D20</t>
  </si>
  <si>
    <t>D21</t>
  </si>
  <si>
    <t>Début D21</t>
  </si>
  <si>
    <t>D22</t>
  </si>
  <si>
    <t>Début D22</t>
  </si>
  <si>
    <t>D23</t>
  </si>
  <si>
    <t>Début D23</t>
  </si>
  <si>
    <t>D24</t>
  </si>
  <si>
    <t>Début D24</t>
  </si>
  <si>
    <t>D25</t>
  </si>
  <si>
    <t>Début D25</t>
  </si>
  <si>
    <t>D26</t>
  </si>
  <si>
    <t>Début D26</t>
  </si>
  <si>
    <t>D27</t>
  </si>
  <si>
    <t>Début D27</t>
  </si>
  <si>
    <t>D28</t>
  </si>
  <si>
    <t>Début D28</t>
  </si>
  <si>
    <t>D29</t>
  </si>
  <si>
    <t>Début D29</t>
  </si>
  <si>
    <t>D30</t>
  </si>
  <si>
    <t>Début D30</t>
  </si>
  <si>
    <t>UE1</t>
  </si>
  <si>
    <t>UE2</t>
  </si>
  <si>
    <t>UE3</t>
  </si>
  <si>
    <t>UE4</t>
  </si>
  <si>
    <t>UE5</t>
  </si>
  <si>
    <t>UE6</t>
  </si>
  <si>
    <t>UE7</t>
  </si>
  <si>
    <t>UE8</t>
  </si>
  <si>
    <t>UE9</t>
  </si>
  <si>
    <t>UE10</t>
  </si>
  <si>
    <t>UE11</t>
  </si>
  <si>
    <t>UE12</t>
  </si>
  <si>
    <t>UE13</t>
  </si>
  <si>
    <t>UE14</t>
  </si>
  <si>
    <t>UE15</t>
  </si>
  <si>
    <t>UE16</t>
  </si>
  <si>
    <t>UE17</t>
  </si>
  <si>
    <t>UE18</t>
  </si>
  <si>
    <t>UE19</t>
  </si>
  <si>
    <t>UE20</t>
  </si>
  <si>
    <t>UE21</t>
  </si>
  <si>
    <t>UE22</t>
  </si>
  <si>
    <t>UE23</t>
  </si>
  <si>
    <t>UE24</t>
  </si>
  <si>
    <t>UE25</t>
  </si>
  <si>
    <t>UE26</t>
  </si>
  <si>
    <t>UE27</t>
  </si>
  <si>
    <t>UE28</t>
  </si>
  <si>
    <t>UE29</t>
  </si>
  <si>
    <t>UE30</t>
  </si>
  <si>
    <t>Prénom(s)</t>
  </si>
  <si>
    <t>Informations Sur</t>
  </si>
  <si>
    <t>1)</t>
  </si>
  <si>
    <t>2)</t>
  </si>
  <si>
    <t>3)</t>
  </si>
  <si>
    <t>4)</t>
  </si>
  <si>
    <t>5)</t>
  </si>
  <si>
    <t>Nom d'
Utilisateur:</t>
  </si>
  <si>
    <t>Module</t>
  </si>
  <si>
    <t>Modules</t>
  </si>
  <si>
    <t>Ajouter une discipline</t>
  </si>
  <si>
    <t>Progression</t>
  </si>
  <si>
    <t>Programme Hebdomadaire</t>
  </si>
  <si>
    <t>Informations Sur la lecture du jour</t>
  </si>
  <si>
    <t>Jour</t>
  </si>
  <si>
    <t>Nom de la
 Discipline</t>
  </si>
  <si>
    <t>Lecture 
Faite?</t>
  </si>
  <si>
    <t>Informations Sur la lecture de la discipline</t>
  </si>
  <si>
    <t>Lu</t>
  </si>
  <si>
    <t>1er Jour</t>
  </si>
  <si>
    <t>Oui
Non</t>
  </si>
  <si>
    <t xml:space="preserve"> Jour + 3</t>
  </si>
  <si>
    <t>Jour + 10</t>
  </si>
  <si>
    <t>Jour + 30</t>
  </si>
  <si>
    <t xml:space="preserve">Jour + 60  </t>
  </si>
  <si>
    <t>Validé
 la réponse</t>
  </si>
  <si>
    <t>Lecture j-j</t>
  </si>
  <si>
    <t>Lecture j3</t>
  </si>
  <si>
    <t>Lecture j10</t>
  </si>
  <si>
    <t>Lecture j30</t>
  </si>
  <si>
    <t>Lecture j60</t>
  </si>
  <si>
    <t>Retour</t>
  </si>
  <si>
    <t>Progression jj/j1</t>
  </si>
  <si>
    <t>Progression jj/j3</t>
  </si>
  <si>
    <t>Progression jj/j10</t>
  </si>
  <si>
    <t>Progression jj/j30</t>
  </si>
  <si>
    <t>Progression jj/j60</t>
  </si>
  <si>
    <t>Progression jj/fin</t>
  </si>
  <si>
    <t>Étiquettes de lignes</t>
  </si>
  <si>
    <t>Total général</t>
  </si>
  <si>
    <t>Somme de Progression jj/fin</t>
  </si>
  <si>
    <t>Nombre de Modules</t>
  </si>
  <si>
    <t>Nombre de Intitulés de cours</t>
  </si>
  <si>
    <t>dis inscrits</t>
  </si>
  <si>
    <t>dis achevés</t>
  </si>
  <si>
    <t>dis mm à lg terme</t>
  </si>
  <si>
    <t>modules ins</t>
  </si>
  <si>
    <t>j-j</t>
  </si>
  <si>
    <t>Non Lu</t>
  </si>
  <si>
    <t>Module 2</t>
  </si>
  <si>
    <t>But du SPACE LEARNING</t>
  </si>
  <si>
    <t>Le Space Learning est une méthode qui permet la mémorisation des notions à long terme, en appliquant convenablement avec rigeur cette méthode, l'on aura à mémoriser plus 90% des notions. Cette méthode est très efficace dans le but de mémoriser surtout les notions spécifiques dans des matières</t>
  </si>
  <si>
    <t>mab</t>
  </si>
  <si>
    <t>Etat Actuel</t>
  </si>
  <si>
    <t>Mémorisations en % des disciplines par rapport à la date d'aujourd'hui</t>
  </si>
  <si>
    <t>Dans le but de mémoriser les notions à long terme et de savoir des notions que vous avez mémorisez à long terme, vous avez choisi aujourd'hui d'appliquer le Space Learning. En effet pour voir l'efficacité de cette application, vous devrez en aucun cas modifier quelques choses, vous devrez suivre les instructions de l'application. Si vous ne respectez pas l'une des obligations de l'application, vous serez vous meme responsable du mauvais fonctionnement de ce dernier.
Le long terme est considéré ici comme le jour où vous rentrez dans l'application.
Juste une personne peut utiliser  cette version d'application et donc après une inscription, une nouvelle inscription n'aura aucun impact sur le fonctionnement de l'application.
Pour une nouvelle version dont beaucoup d'individus peuvent utiliser, veillez la payer en ligne sur notre site. Elle sera disponible le 25/12/2022.
L'une des spéficités de l'apllication est qu'une discipline est considérée comme une matière ou une notion spécifique
L'autre est que chaque discipline doit etre choisie dans l"une des modules 1 à 5.
Il faut consulter le programme de révision tous les jours
En consultant le programme de révision, il faut toujours actualiser le bouton semaine pour chercher le jour d'aujourd'hui et  meme si le jour d'aujourd'hui n'apparait pas car c'est lui qui actualise les disciplines.
Pour plus d'infos, veillez lire le document Word.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</si>
</sst>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numFmt numFmtId="165" formatCode="mmmm\ yyyy"/>
    <numFmt numFmtId="166" formatCode="0&quot;%&quot;"/>
  </numFmts>
  <fonts count="34" x14ac:knownFonts="1">
    <font>
      <sz val="11"/>
      <color theme="1"/>
      <name val="Calibri"/>
      <family val="2"/>
      <scheme val="minor"/>
    </font>
    <font>
      <sz val="11"/>
      <color theme="0"/>
      <name val="Arial Rounded MT Bold"/>
      <family val="2"/>
    </font>
    <font>
      <sz val="11"/>
      <color theme="0"/>
      <name val="Calibri"/>
      <family val="2"/>
      <scheme val="minor"/>
    </font>
    <font>
      <sz val="16"/>
      <color theme="0"/>
      <name val="Arial Rounded MT Bold"/>
      <family val="2"/>
    </font>
    <font>
      <sz val="20"/>
      <color theme="1"/>
      <name val="Cooper Black"/>
      <family val="1"/>
    </font>
    <font>
      <sz val="18"/>
      <color theme="0"/>
      <name val="Chiller"/>
      <family val="5"/>
    </font>
    <font>
      <sz val="18"/>
      <color rgb="FFC00000"/>
      <name val="Chiller"/>
      <family val="5"/>
    </font>
    <font>
      <sz val="48"/>
      <color theme="0" tint="-4.9989318521683403E-2"/>
      <name val="Gigi"/>
      <family val="5"/>
    </font>
    <font>
      <sz val="48"/>
      <color theme="0" tint="-4.9989318521683403E-2"/>
      <name val="Chiller"/>
      <family val="5"/>
    </font>
    <font>
      <sz val="18"/>
      <color theme="8"/>
      <name val="Chiller"/>
      <family val="5"/>
    </font>
    <font>
      <sz val="36"/>
      <color theme="0"/>
      <name val="Chiller"/>
      <family val="5"/>
    </font>
    <font>
      <u/>
      <sz val="22"/>
      <color rgb="FF0070C0"/>
      <name val="Curlz MT"/>
      <family val="5"/>
    </font>
    <font>
      <sz val="11"/>
      <color rgb="FF0070C0"/>
      <name val="Calibri"/>
      <family val="2"/>
      <scheme val="minor"/>
    </font>
    <font>
      <sz val="12"/>
      <color theme="4"/>
      <name val="Copperplate Gothic Bold"/>
      <family val="2"/>
    </font>
    <font>
      <sz val="11"/>
      <color theme="4"/>
      <name val="Calibri"/>
      <family val="2"/>
      <scheme val="minor"/>
    </font>
    <font>
      <sz val="11"/>
      <color theme="3" tint="-0.499984740745262"/>
      <name val="Calibri"/>
      <family val="2"/>
      <scheme val="minor"/>
    </font>
    <font>
      <sz val="22"/>
      <color theme="4"/>
      <name val="Chiller"/>
      <family val="5"/>
    </font>
    <font>
      <sz val="22"/>
      <color theme="7"/>
      <name val="Chiller"/>
      <family val="5"/>
    </font>
    <font>
      <sz val="22"/>
      <color rgb="FFFF0000"/>
      <name val="Chiller"/>
      <family val="5"/>
    </font>
    <font>
      <sz val="28"/>
      <color theme="0"/>
      <name val="Gigi"/>
      <family val="5"/>
    </font>
    <font>
      <sz val="28"/>
      <color rgb="FFC00000"/>
      <name val="Chiller"/>
      <family val="5"/>
    </font>
    <font>
      <u val="double"/>
      <sz val="36"/>
      <color theme="0"/>
      <name val="Harrington"/>
      <family val="5"/>
    </font>
    <font>
      <sz val="48"/>
      <color theme="8" tint="-0.499984740745262"/>
      <name val="Gigi"/>
      <family val="5"/>
    </font>
    <font>
      <sz val="11"/>
      <color theme="8" tint="-0.499984740745262"/>
      <name val="Calibri"/>
      <family val="2"/>
      <scheme val="minor"/>
    </font>
    <font>
      <sz val="28"/>
      <color theme="8" tint="-0.499984740745262"/>
      <name val="Aparajita"/>
      <family val="2"/>
    </font>
    <font>
      <sz val="16"/>
      <color rgb="FF0070C0"/>
      <name val="Calibri"/>
      <family val="2"/>
      <scheme val="minor"/>
    </font>
    <font>
      <sz val="20"/>
      <color rgb="FF0070C0"/>
      <name val="Calibri"/>
      <family val="2"/>
      <scheme val="minor"/>
    </font>
    <font>
      <sz val="11"/>
      <color theme="0"/>
      <name val="Algerian"/>
      <family val="5"/>
    </font>
    <font>
      <sz val="18"/>
      <color rgb="FFC00000"/>
      <name val="Gigi"/>
      <family val="5"/>
    </font>
    <font>
      <b/>
      <sz val="11"/>
      <color theme="3" tint="-0.499984740745262"/>
      <name val="Calibri"/>
      <family val="2"/>
      <scheme val="minor"/>
    </font>
    <font>
      <sz val="14"/>
      <color theme="8" tint="-0.499984740745262"/>
      <name val="Gadugi"/>
      <family val="2"/>
    </font>
    <font>
      <sz val="14"/>
      <color theme="1"/>
      <name val="Gadugi"/>
      <family val="2"/>
    </font>
    <font>
      <sz val="11"/>
      <color rgb="FFC00000"/>
      <name val="Goudy Stout"/>
      <family val="1"/>
    </font>
    <font>
      <sz val="18"/>
      <color rgb="FFC00000"/>
      <name val="Bodoni MT Black"/>
      <family val="1"/>
    </font>
  </fonts>
  <fills count="9">
    <fill>
      <patternFill patternType="none"/>
    </fill>
    <fill>
      <patternFill patternType="gray125"/>
    </fill>
    <fill>
      <patternFill patternType="solid">
        <fgColor theme="4" tint="0.39997558519241921"/>
        <bgColor indexed="64"/>
      </patternFill>
    </fill>
    <fill>
      <patternFill patternType="solid">
        <fgColor theme="9"/>
        <bgColor indexed="64"/>
      </patternFill>
    </fill>
    <fill>
      <patternFill patternType="solid">
        <fgColor theme="0"/>
        <bgColor indexed="64"/>
      </patternFill>
    </fill>
    <fill>
      <patternFill patternType="solid">
        <fgColor theme="4"/>
        <bgColor indexed="64"/>
      </patternFill>
    </fill>
    <fill>
      <patternFill patternType="solid">
        <fgColor theme="8" tint="-0.499984740745262"/>
        <bgColor indexed="64"/>
      </patternFill>
    </fill>
    <fill>
      <patternFill patternType="solid">
        <fgColor theme="3" tint="-0.499984740745262"/>
        <bgColor indexed="64"/>
      </patternFill>
    </fill>
    <fill>
      <patternFill patternType="solid">
        <fgColor theme="3" tint="-0.249977111117893"/>
        <bgColor indexed="64"/>
      </patternFill>
    </fill>
  </fills>
  <borders count="50">
    <border>
      <left/>
      <right/>
      <top/>
      <bottom/>
      <diagonal/>
    </border>
    <border>
      <left style="hair">
        <color theme="0"/>
      </left>
      <right style="hair">
        <color theme="0"/>
      </right>
      <top/>
      <bottom/>
      <diagonal/>
    </border>
    <border>
      <left style="dotted">
        <color theme="0"/>
      </left>
      <right style="dotted">
        <color theme="0"/>
      </right>
      <top style="dotted">
        <color theme="0"/>
      </top>
      <bottom style="dotted">
        <color theme="0"/>
      </bottom>
      <diagonal/>
    </border>
    <border>
      <left/>
      <right/>
      <top style="medium">
        <color theme="0"/>
      </top>
      <bottom/>
      <diagonal/>
    </border>
    <border>
      <left/>
      <right/>
      <top/>
      <bottom style="medium">
        <color theme="0"/>
      </bottom>
      <diagonal/>
    </border>
    <border>
      <left/>
      <right/>
      <top style="dashed">
        <color theme="0"/>
      </top>
      <bottom/>
      <diagonal/>
    </border>
    <border>
      <left style="dashed">
        <color auto="1"/>
      </left>
      <right/>
      <top/>
      <bottom/>
      <diagonal/>
    </border>
    <border>
      <left/>
      <right style="dashed">
        <color auto="1"/>
      </right>
      <top/>
      <bottom/>
      <diagonal/>
    </border>
    <border>
      <left style="dashed">
        <color theme="1"/>
      </left>
      <right/>
      <top style="dashed">
        <color theme="1"/>
      </top>
      <bottom style="dashed">
        <color theme="1"/>
      </bottom>
      <diagonal/>
    </border>
    <border>
      <left/>
      <right/>
      <top style="dashed">
        <color theme="1"/>
      </top>
      <bottom style="dashed">
        <color theme="1"/>
      </bottom>
      <diagonal/>
    </border>
    <border>
      <left/>
      <right style="dashed">
        <color theme="1"/>
      </right>
      <top style="dashed">
        <color theme="1"/>
      </top>
      <bottom style="dashed">
        <color theme="1"/>
      </bottom>
      <diagonal/>
    </border>
    <border>
      <left style="dashed">
        <color auto="1"/>
      </left>
      <right style="dashed">
        <color auto="1"/>
      </right>
      <top/>
      <bottom/>
      <diagonal/>
    </border>
    <border>
      <left style="dashed">
        <color auto="1"/>
      </left>
      <right style="dashed">
        <color auto="1"/>
      </right>
      <top style="dashed">
        <color auto="1"/>
      </top>
      <bottom style="dashed">
        <color auto="1"/>
      </bottom>
      <diagonal/>
    </border>
    <border>
      <left/>
      <right style="hair">
        <color theme="0"/>
      </right>
      <top/>
      <bottom/>
      <diagonal/>
    </border>
    <border>
      <left style="hair">
        <color theme="0"/>
      </left>
      <right/>
      <top/>
      <bottom/>
      <diagonal/>
    </border>
    <border>
      <left style="dashed">
        <color theme="4"/>
      </left>
      <right style="dashed">
        <color theme="4"/>
      </right>
      <top style="dashed">
        <color theme="4"/>
      </top>
      <bottom style="dashed">
        <color theme="4"/>
      </bottom>
      <diagonal/>
    </border>
    <border>
      <left style="dashed">
        <color rgb="FFFF0000"/>
      </left>
      <right style="dashed">
        <color rgb="FFFF0000"/>
      </right>
      <top style="dashed">
        <color rgb="FFFF0000"/>
      </top>
      <bottom style="dashed">
        <color rgb="FFFF0000"/>
      </bottom>
      <diagonal/>
    </border>
    <border>
      <left/>
      <right style="dashed">
        <color theme="4"/>
      </right>
      <top/>
      <bottom/>
      <diagonal/>
    </border>
    <border>
      <left/>
      <right style="dashed">
        <color rgb="FFFF0000"/>
      </right>
      <top/>
      <bottom/>
      <diagonal/>
    </border>
    <border>
      <left style="dashed">
        <color auto="1"/>
      </left>
      <right/>
      <top style="medium">
        <color theme="0"/>
      </top>
      <bottom/>
      <diagonal/>
    </border>
    <border>
      <left style="dashed">
        <color auto="1"/>
      </left>
      <right/>
      <top/>
      <bottom style="medium">
        <color theme="0"/>
      </bottom>
      <diagonal/>
    </border>
    <border>
      <left/>
      <right style="dashed">
        <color auto="1"/>
      </right>
      <top style="medium">
        <color theme="0"/>
      </top>
      <bottom/>
      <diagonal/>
    </border>
    <border>
      <left/>
      <right style="dashed">
        <color auto="1"/>
      </right>
      <top/>
      <bottom style="medium">
        <color theme="0"/>
      </bottom>
      <diagonal/>
    </border>
    <border>
      <left/>
      <right style="dashed">
        <color auto="1"/>
      </right>
      <top style="dashed">
        <color theme="0"/>
      </top>
      <bottom/>
      <diagonal/>
    </border>
    <border>
      <left/>
      <right/>
      <top/>
      <bottom style="dashed">
        <color theme="0"/>
      </bottom>
      <diagonal/>
    </border>
    <border>
      <left/>
      <right style="dashed">
        <color auto="1"/>
      </right>
      <top/>
      <bottom style="dashed">
        <color theme="0"/>
      </bottom>
      <diagonal/>
    </border>
    <border>
      <left style="dashed">
        <color rgb="FFC00000"/>
      </left>
      <right style="dashed">
        <color rgb="FFC00000"/>
      </right>
      <top style="dashed">
        <color rgb="FFC00000"/>
      </top>
      <bottom style="dashed">
        <color rgb="FFC00000"/>
      </bottom>
      <diagonal/>
    </border>
    <border>
      <left style="dashed">
        <color theme="4"/>
      </left>
      <right style="thick">
        <color theme="4"/>
      </right>
      <top style="dashed">
        <color theme="4"/>
      </top>
      <bottom style="thick">
        <color theme="7"/>
      </bottom>
      <diagonal/>
    </border>
    <border>
      <left style="thick">
        <color theme="4"/>
      </left>
      <right style="dashed">
        <color theme="4"/>
      </right>
      <top style="dashed">
        <color theme="4"/>
      </top>
      <bottom style="thick">
        <color theme="0"/>
      </bottom>
      <diagonal/>
    </border>
    <border>
      <left style="dashed">
        <color theme="4"/>
      </left>
      <right/>
      <top style="dashed">
        <color theme="4"/>
      </top>
      <bottom style="medium">
        <color theme="0"/>
      </bottom>
      <diagonal/>
    </border>
    <border>
      <left/>
      <right style="dashed">
        <color theme="4"/>
      </right>
      <top style="dashed">
        <color theme="4"/>
      </top>
      <bottom style="medium">
        <color theme="0"/>
      </bottom>
      <diagonal/>
    </border>
    <border>
      <left/>
      <right/>
      <top style="dashed">
        <color theme="4"/>
      </top>
      <bottom style="medium">
        <color theme="0"/>
      </bottom>
      <diagonal/>
    </border>
    <border>
      <left style="dashed">
        <color theme="4"/>
      </left>
      <right/>
      <top style="thick">
        <color theme="8" tint="-0.499984740745262"/>
      </top>
      <bottom style="thick">
        <color theme="8" tint="-0.499984740745262"/>
      </bottom>
      <diagonal/>
    </border>
    <border>
      <left/>
      <right style="dashed">
        <color theme="4"/>
      </right>
      <top style="thick">
        <color rgb="FF002060"/>
      </top>
      <bottom style="thick">
        <color rgb="FF002060"/>
      </bottom>
      <diagonal/>
    </border>
    <border>
      <left/>
      <right/>
      <top style="thick">
        <color rgb="FF002060"/>
      </top>
      <bottom style="thick">
        <color rgb="FF002060"/>
      </bottom>
      <diagonal/>
    </border>
    <border>
      <left style="dashed">
        <color theme="8"/>
      </left>
      <right/>
      <top style="dashed">
        <color theme="8"/>
      </top>
      <bottom style="dashed">
        <color theme="8"/>
      </bottom>
      <diagonal/>
    </border>
    <border>
      <left/>
      <right style="dashed">
        <color theme="8"/>
      </right>
      <top style="dashed">
        <color theme="8"/>
      </top>
      <bottom style="dashed">
        <color theme="8"/>
      </bottom>
      <diagonal/>
    </border>
    <border>
      <left style="dashed">
        <color theme="4"/>
      </left>
      <right style="dashed">
        <color theme="4"/>
      </right>
      <top style="thick">
        <color rgb="FF002060"/>
      </top>
      <bottom style="thick">
        <color theme="8" tint="-0.499984740745262"/>
      </bottom>
      <diagonal/>
    </border>
    <border>
      <left/>
      <right style="dashed">
        <color theme="4"/>
      </right>
      <top/>
      <bottom style="thick">
        <color theme="8" tint="-0.499984740745262"/>
      </bottom>
      <diagonal/>
    </border>
    <border>
      <left style="dashed">
        <color theme="1"/>
      </left>
      <right style="dashed">
        <color theme="1"/>
      </right>
      <top style="dashed">
        <color theme="1"/>
      </top>
      <bottom style="dashed">
        <color theme="1"/>
      </bottom>
      <diagonal/>
    </border>
    <border>
      <left style="thick">
        <color rgb="FFC00000"/>
      </left>
      <right style="thick">
        <color rgb="FFC00000"/>
      </right>
      <top style="thick">
        <color rgb="FFC00000"/>
      </top>
      <bottom style="thick">
        <color rgb="FFC00000"/>
      </bottom>
      <diagonal/>
    </border>
    <border>
      <left style="hair">
        <color theme="0"/>
      </left>
      <right style="hair">
        <color theme="0"/>
      </right>
      <top/>
      <bottom style="dashed">
        <color theme="1" tint="4.9989318521683403E-2"/>
      </bottom>
      <diagonal/>
    </border>
    <border>
      <left style="dashed">
        <color theme="3" tint="-0.24994659260841701"/>
      </left>
      <right/>
      <top style="dashed">
        <color theme="3" tint="-0.24994659260841701"/>
      </top>
      <bottom/>
      <diagonal/>
    </border>
    <border>
      <left/>
      <right/>
      <top style="dashed">
        <color theme="3" tint="-0.24994659260841701"/>
      </top>
      <bottom/>
      <diagonal/>
    </border>
    <border>
      <left/>
      <right style="dashed">
        <color theme="3" tint="-0.24994659260841701"/>
      </right>
      <top style="dashed">
        <color theme="3" tint="-0.24994659260841701"/>
      </top>
      <bottom/>
      <diagonal/>
    </border>
    <border>
      <left style="dashed">
        <color theme="3" tint="-0.24994659260841701"/>
      </left>
      <right/>
      <top/>
      <bottom/>
      <diagonal/>
    </border>
    <border>
      <left/>
      <right style="dashed">
        <color theme="3" tint="-0.24994659260841701"/>
      </right>
      <top/>
      <bottom/>
      <diagonal/>
    </border>
    <border>
      <left style="dashed">
        <color theme="3" tint="-0.24994659260841701"/>
      </left>
      <right/>
      <top/>
      <bottom style="dashed">
        <color theme="3" tint="-0.24994659260841701"/>
      </bottom>
      <diagonal/>
    </border>
    <border>
      <left/>
      <right/>
      <top/>
      <bottom style="dashed">
        <color theme="3" tint="-0.24994659260841701"/>
      </bottom>
      <diagonal/>
    </border>
    <border>
      <left/>
      <right style="dashed">
        <color theme="3" tint="-0.24994659260841701"/>
      </right>
      <top/>
      <bottom style="dashed">
        <color theme="3" tint="-0.24994659260841701"/>
      </bottom>
      <diagonal/>
    </border>
  </borders>
  <cellStyleXfs count="1">
    <xf numFmtId="0" fontId="0" fillId="0" borderId="0"/>
  </cellStyleXfs>
  <cellXfs count="115">
    <xf numFmtId="0" fontId="0" fillId="0" borderId="0" xfId="0"/>
    <xf numFmtId="0" fontId="2" fillId="2" borderId="0" xfId="0" applyFont="1" applyFill="1"/>
    <xf numFmtId="0" fontId="3" fillId="2" borderId="2" xfId="0" applyFont="1" applyFill="1" applyBorder="1" applyAlignment="1">
      <alignment horizontal="right"/>
    </xf>
    <xf numFmtId="0" fontId="0" fillId="4" borderId="9" xfId="0" applyFill="1" applyBorder="1"/>
    <xf numFmtId="0" fontId="0" fillId="4" borderId="10" xfId="0" applyFill="1" applyBorder="1"/>
    <xf numFmtId="0" fontId="0" fillId="2" borderId="11" xfId="0" applyFill="1" applyBorder="1"/>
    <xf numFmtId="0" fontId="0" fillId="4" borderId="12" xfId="0" applyFill="1" applyBorder="1"/>
    <xf numFmtId="14" fontId="0" fillId="2" borderId="11" xfId="0" applyNumberFormat="1" applyFill="1" applyBorder="1"/>
    <xf numFmtId="14" fontId="0" fillId="4" borderId="12" xfId="0" applyNumberFormat="1" applyFill="1" applyBorder="1"/>
    <xf numFmtId="0" fontId="0" fillId="7" borderId="0" xfId="0" applyFill="1"/>
    <xf numFmtId="0" fontId="0" fillId="7" borderId="6" xfId="0" applyFill="1" applyBorder="1"/>
    <xf numFmtId="0" fontId="0" fillId="7" borderId="7" xfId="0" applyFill="1" applyBorder="1"/>
    <xf numFmtId="0" fontId="0" fillId="7" borderId="0" xfId="0" applyFill="1" applyAlignment="1">
      <alignment vertical="center"/>
    </xf>
    <xf numFmtId="0" fontId="5" fillId="7" borderId="15" xfId="0" applyFont="1" applyFill="1" applyBorder="1" applyAlignment="1">
      <alignment horizontal="center" vertical="center"/>
    </xf>
    <xf numFmtId="0" fontId="6" fillId="7" borderId="16" xfId="0" applyFont="1" applyFill="1" applyBorder="1" applyAlignment="1">
      <alignment horizontal="center" vertical="center"/>
    </xf>
    <xf numFmtId="0" fontId="8" fillId="7" borderId="0" xfId="0" applyFont="1" applyFill="1"/>
    <xf numFmtId="0" fontId="0" fillId="4" borderId="0" xfId="0" applyFill="1"/>
    <xf numFmtId="0" fontId="0" fillId="7" borderId="17" xfId="0" applyFill="1" applyBorder="1"/>
    <xf numFmtId="0" fontId="0" fillId="7" borderId="18" xfId="0" applyFill="1" applyBorder="1"/>
    <xf numFmtId="0" fontId="0" fillId="7" borderId="18" xfId="0" applyFill="1" applyBorder="1" applyAlignment="1">
      <alignment vertical="center"/>
    </xf>
    <xf numFmtId="0" fontId="9" fillId="7" borderId="15" xfId="0" applyFont="1" applyFill="1" applyBorder="1" applyAlignment="1">
      <alignment horizontal="center" vertical="center"/>
    </xf>
    <xf numFmtId="0" fontId="4" fillId="7" borderId="0" xfId="0" applyFont="1" applyFill="1"/>
    <xf numFmtId="0" fontId="0" fillId="7" borderId="19" xfId="0" applyFill="1" applyBorder="1"/>
    <xf numFmtId="0" fontId="0" fillId="7" borderId="3" xfId="0" applyFill="1" applyBorder="1"/>
    <xf numFmtId="0" fontId="7" fillId="7" borderId="6" xfId="0" applyFont="1" applyFill="1" applyBorder="1"/>
    <xf numFmtId="0" fontId="0" fillId="7" borderId="20" xfId="0" applyFill="1" applyBorder="1"/>
    <xf numFmtId="0" fontId="0" fillId="7" borderId="4" xfId="0" applyFill="1" applyBorder="1"/>
    <xf numFmtId="0" fontId="0" fillId="7" borderId="21" xfId="0" applyFill="1" applyBorder="1"/>
    <xf numFmtId="0" fontId="0" fillId="7" borderId="22" xfId="0" applyFill="1" applyBorder="1"/>
    <xf numFmtId="0" fontId="0" fillId="7" borderId="5" xfId="0" applyFill="1" applyBorder="1"/>
    <xf numFmtId="0" fontId="0" fillId="7" borderId="23" xfId="0" applyFill="1" applyBorder="1"/>
    <xf numFmtId="0" fontId="0" fillId="7" borderId="24" xfId="0" applyFill="1" applyBorder="1"/>
    <xf numFmtId="0" fontId="0" fillId="7" borderId="25" xfId="0" applyFill="1" applyBorder="1"/>
    <xf numFmtId="0" fontId="10" fillId="7" borderId="0" xfId="0" applyFont="1" applyFill="1"/>
    <xf numFmtId="0" fontId="11" fillId="7" borderId="0" xfId="0" applyFont="1" applyFill="1" applyAlignment="1">
      <alignment horizontal="left"/>
    </xf>
    <xf numFmtId="0" fontId="12" fillId="4" borderId="10" xfId="0" applyFont="1" applyFill="1" applyBorder="1" applyAlignment="1">
      <alignment horizontal="right" vertical="center"/>
    </xf>
    <xf numFmtId="0" fontId="12" fillId="4" borderId="9" xfId="0" applyFont="1" applyFill="1" applyBorder="1" applyAlignment="1">
      <alignment horizontal="right" vertical="center"/>
    </xf>
    <xf numFmtId="0" fontId="12" fillId="4" borderId="8" xfId="0" applyFont="1" applyFill="1" applyBorder="1" applyAlignment="1">
      <alignment vertical="center"/>
    </xf>
    <xf numFmtId="0" fontId="12" fillId="4" borderId="8" xfId="0" applyFont="1" applyFill="1" applyBorder="1" applyAlignment="1">
      <alignment horizontal="left" vertical="center"/>
    </xf>
    <xf numFmtId="0" fontId="2" fillId="7" borderId="0" xfId="0" applyFont="1" applyFill="1" applyAlignment="1">
      <alignment horizontal="right" vertical="center"/>
    </xf>
    <xf numFmtId="0" fontId="13" fillId="4" borderId="8" xfId="0" applyFont="1" applyFill="1" applyBorder="1" applyAlignment="1">
      <alignment vertical="center"/>
    </xf>
    <xf numFmtId="0" fontId="14" fillId="4" borderId="8" xfId="0" applyFont="1" applyFill="1" applyBorder="1" applyAlignment="1">
      <alignment horizontal="center" vertical="center" wrapText="1"/>
    </xf>
    <xf numFmtId="0" fontId="12" fillId="4" borderId="10" xfId="0" applyFont="1" applyFill="1" applyBorder="1" applyAlignment="1">
      <alignment horizontal="right" vertical="center" wrapText="1"/>
    </xf>
    <xf numFmtId="0" fontId="0" fillId="4" borderId="15" xfId="0" applyFill="1" applyBorder="1"/>
    <xf numFmtId="0" fontId="0" fillId="5" borderId="15" xfId="0" applyFill="1" applyBorder="1" applyAlignment="1">
      <alignment horizontal="center"/>
    </xf>
    <xf numFmtId="0" fontId="0" fillId="5" borderId="15" xfId="0" applyFill="1" applyBorder="1"/>
    <xf numFmtId="14" fontId="0" fillId="4" borderId="15" xfId="0" applyNumberFormat="1" applyFill="1" applyBorder="1"/>
    <xf numFmtId="14" fontId="15" fillId="7" borderId="0" xfId="0" applyNumberFormat="1" applyFont="1" applyFill="1"/>
    <xf numFmtId="0" fontId="17" fillId="4" borderId="15" xfId="0" applyFont="1" applyFill="1" applyBorder="1" applyAlignment="1">
      <alignment horizontal="center" vertical="center"/>
    </xf>
    <xf numFmtId="0" fontId="16" fillId="4" borderId="15" xfId="0" applyFont="1" applyFill="1" applyBorder="1" applyAlignment="1">
      <alignment horizontal="center" vertical="center"/>
    </xf>
    <xf numFmtId="0" fontId="18" fillId="4" borderId="26" xfId="0" applyFont="1" applyFill="1" applyBorder="1" applyAlignment="1">
      <alignment horizontal="center" vertical="center"/>
    </xf>
    <xf numFmtId="0" fontId="2" fillId="6" borderId="0" xfId="0" applyFont="1" applyFill="1"/>
    <xf numFmtId="0" fontId="1" fillId="6" borderId="0" xfId="0" applyFont="1" applyFill="1" applyAlignment="1">
      <alignment horizontal="right"/>
    </xf>
    <xf numFmtId="165" fontId="1" fillId="6" borderId="0" xfId="0" applyNumberFormat="1" applyFont="1" applyFill="1" applyAlignment="1">
      <alignment horizontal="left"/>
    </xf>
    <xf numFmtId="0" fontId="3" fillId="6" borderId="2" xfId="0" applyFont="1" applyFill="1" applyBorder="1" applyAlignment="1">
      <alignment horizontal="right"/>
    </xf>
    <xf numFmtId="164" fontId="3" fillId="6" borderId="2" xfId="0" applyNumberFormat="1" applyFont="1" applyFill="1" applyBorder="1" applyAlignment="1">
      <alignment horizontal="right"/>
    </xf>
    <xf numFmtId="0" fontId="17" fillId="4" borderId="27" xfId="0" applyFont="1" applyFill="1" applyBorder="1" applyAlignment="1">
      <alignment horizontal="center" vertical="center"/>
    </xf>
    <xf numFmtId="0" fontId="19" fillId="6" borderId="29" xfId="0" applyFont="1" applyFill="1" applyBorder="1"/>
    <xf numFmtId="0" fontId="2" fillId="6" borderId="31" xfId="0" applyFont="1" applyFill="1" applyBorder="1"/>
    <xf numFmtId="0" fontId="2" fillId="6" borderId="30" xfId="0" applyFont="1" applyFill="1" applyBorder="1"/>
    <xf numFmtId="0" fontId="20" fillId="4" borderId="28" xfId="0" applyFont="1" applyFill="1" applyBorder="1" applyAlignment="1">
      <alignment horizontal="center" vertical="center"/>
    </xf>
    <xf numFmtId="0" fontId="21" fillId="6" borderId="0" xfId="0" applyFont="1" applyFill="1"/>
    <xf numFmtId="0" fontId="1" fillId="6" borderId="0" xfId="0" applyFont="1" applyFill="1" applyAlignment="1">
      <alignment horizontal="right" vertical="center"/>
    </xf>
    <xf numFmtId="0" fontId="1" fillId="6" borderId="0" xfId="0" applyFont="1" applyFill="1" applyAlignment="1">
      <alignment horizontal="left" vertical="center"/>
    </xf>
    <xf numFmtId="0" fontId="0" fillId="7" borderId="32" xfId="0" applyFill="1" applyBorder="1"/>
    <xf numFmtId="0" fontId="22" fillId="4" borderId="32" xfId="0" applyFont="1" applyFill="1" applyBorder="1"/>
    <xf numFmtId="0" fontId="0" fillId="4" borderId="34" xfId="0" applyFill="1" applyBorder="1"/>
    <xf numFmtId="0" fontId="0" fillId="4" borderId="33" xfId="0" applyFill="1" applyBorder="1"/>
    <xf numFmtId="0" fontId="23" fillId="7" borderId="0" xfId="0" applyFont="1" applyFill="1"/>
    <xf numFmtId="0" fontId="0" fillId="4" borderId="36" xfId="0" applyFill="1" applyBorder="1"/>
    <xf numFmtId="0" fontId="24" fillId="4" borderId="35" xfId="0" applyFont="1" applyFill="1" applyBorder="1" applyAlignment="1">
      <alignment horizontal="left" vertical="center"/>
    </xf>
    <xf numFmtId="0" fontId="0" fillId="4" borderId="37" xfId="0" applyFill="1" applyBorder="1"/>
    <xf numFmtId="0" fontId="0" fillId="7" borderId="38" xfId="0" applyFill="1" applyBorder="1"/>
    <xf numFmtId="0" fontId="26" fillId="4" borderId="10" xfId="0" applyFont="1" applyFill="1" applyBorder="1" applyAlignment="1">
      <alignment horizontal="right" vertical="center"/>
    </xf>
    <xf numFmtId="0" fontId="25" fillId="4" borderId="10" xfId="0" applyFont="1" applyFill="1" applyBorder="1" applyAlignment="1">
      <alignment horizontal="right" vertical="center" wrapText="1" indent="1"/>
    </xf>
    <xf numFmtId="0" fontId="26" fillId="4" borderId="10" xfId="0" applyFont="1" applyFill="1" applyBorder="1" applyAlignment="1">
      <alignment horizontal="left" vertical="center" wrapText="1"/>
    </xf>
    <xf numFmtId="14" fontId="13" fillId="4" borderId="39" xfId="0" applyNumberFormat="1" applyFont="1" applyFill="1" applyBorder="1" applyAlignment="1">
      <alignment vertical="center"/>
    </xf>
    <xf numFmtId="0" fontId="26" fillId="4" borderId="10" xfId="0" applyFont="1" applyFill="1" applyBorder="1" applyAlignment="1">
      <alignment vertical="center"/>
    </xf>
    <xf numFmtId="14" fontId="13" fillId="4" borderId="8" xfId="0" applyNumberFormat="1" applyFont="1" applyFill="1" applyBorder="1" applyAlignment="1" applyProtection="1">
      <alignment vertical="center"/>
      <protection hidden="1"/>
    </xf>
    <xf numFmtId="0" fontId="25" fillId="4" borderId="39" xfId="0" applyFont="1" applyFill="1" applyBorder="1" applyAlignment="1">
      <alignment horizontal="right" vertical="center" wrapText="1" indent="1"/>
    </xf>
    <xf numFmtId="0" fontId="13" fillId="4" borderId="9" xfId="0" applyFont="1" applyFill="1" applyBorder="1" applyAlignment="1">
      <alignment vertical="center"/>
    </xf>
    <xf numFmtId="0" fontId="27" fillId="3" borderId="39" xfId="0" applyFont="1" applyFill="1" applyBorder="1" applyAlignment="1">
      <alignment horizontal="center" vertical="center" wrapText="1"/>
    </xf>
    <xf numFmtId="0" fontId="15" fillId="7" borderId="0" xfId="0" applyFont="1" applyFill="1"/>
    <xf numFmtId="0" fontId="26" fillId="4" borderId="8" xfId="0" applyFont="1" applyFill="1" applyBorder="1" applyAlignment="1">
      <alignment vertical="center"/>
    </xf>
    <xf numFmtId="0" fontId="28" fillId="7" borderId="40" xfId="0" applyFont="1" applyFill="1" applyBorder="1" applyAlignment="1">
      <alignment horizontal="center" vertical="center"/>
    </xf>
    <xf numFmtId="0" fontId="2" fillId="7" borderId="1" xfId="0" applyFont="1" applyFill="1" applyBorder="1"/>
    <xf numFmtId="14" fontId="2" fillId="7" borderId="1" xfId="0" applyNumberFormat="1" applyFont="1" applyFill="1" applyBorder="1"/>
    <xf numFmtId="9" fontId="2" fillId="7" borderId="13" xfId="0" applyNumberFormat="1" applyFont="1" applyFill="1" applyBorder="1"/>
    <xf numFmtId="166" fontId="2" fillId="7" borderId="14" xfId="0" applyNumberFormat="1" applyFont="1" applyFill="1" applyBorder="1"/>
    <xf numFmtId="14" fontId="2" fillId="7" borderId="14" xfId="0" applyNumberFormat="1" applyFont="1" applyFill="1" applyBorder="1"/>
    <xf numFmtId="0" fontId="2" fillId="7" borderId="13" xfId="0" applyFont="1" applyFill="1" applyBorder="1"/>
    <xf numFmtId="0" fontId="15" fillId="7" borderId="1" xfId="0" applyFont="1" applyFill="1" applyBorder="1"/>
    <xf numFmtId="0" fontId="15" fillId="4" borderId="1" xfId="0" applyFont="1" applyFill="1" applyBorder="1"/>
    <xf numFmtId="0" fontId="29" fillId="4" borderId="41" xfId="0" applyFont="1" applyFill="1" applyBorder="1"/>
    <xf numFmtId="0" fontId="29" fillId="4" borderId="1" xfId="0" applyFont="1" applyFill="1" applyBorder="1"/>
    <xf numFmtId="0" fontId="29" fillId="4" borderId="14" xfId="0" applyFont="1" applyFill="1" applyBorder="1"/>
    <xf numFmtId="9" fontId="2" fillId="7" borderId="1" xfId="0" applyNumberFormat="1" applyFont="1" applyFill="1" applyBorder="1"/>
    <xf numFmtId="0" fontId="29" fillId="3" borderId="1" xfId="0" applyFont="1" applyFill="1" applyBorder="1"/>
    <xf numFmtId="0" fontId="30" fillId="4" borderId="0" xfId="0" applyFont="1" applyFill="1"/>
    <xf numFmtId="14" fontId="30" fillId="4" borderId="46" xfId="0" applyNumberFormat="1" applyFont="1" applyFill="1" applyBorder="1" applyAlignment="1">
      <alignment horizontal="left"/>
    </xf>
    <xf numFmtId="0" fontId="0" fillId="4" borderId="43" xfId="0" applyFill="1" applyBorder="1"/>
    <xf numFmtId="0" fontId="31" fillId="4" borderId="0" xfId="0" applyFont="1" applyFill="1"/>
    <xf numFmtId="0" fontId="0" fillId="4" borderId="48" xfId="0" applyFill="1" applyBorder="1"/>
    <xf numFmtId="0" fontId="0" fillId="4" borderId="44" xfId="0" applyFill="1" applyBorder="1"/>
    <xf numFmtId="0" fontId="0" fillId="4" borderId="49" xfId="0" applyFill="1" applyBorder="1"/>
    <xf numFmtId="0" fontId="0" fillId="4" borderId="45" xfId="0" applyFill="1" applyBorder="1"/>
    <xf numFmtId="0" fontId="0" fillId="4" borderId="42" xfId="0" applyFill="1" applyBorder="1"/>
    <xf numFmtId="0" fontId="0" fillId="4" borderId="47" xfId="0" applyFill="1" applyBorder="1"/>
    <xf numFmtId="0" fontId="32" fillId="7" borderId="0" xfId="0" applyFont="1" applyFill="1"/>
    <xf numFmtId="0" fontId="33" fillId="8" borderId="0" xfId="0" applyFont="1" applyFill="1"/>
    <xf numFmtId="14" fontId="15" fillId="4" borderId="1" xfId="0" applyNumberFormat="1" applyFont="1" applyFill="1" applyBorder="1"/>
    <xf numFmtId="14" fontId="2" fillId="7" borderId="13" xfId="0" applyNumberFormat="1" applyFont="1" applyFill="1" applyBorder="1"/>
    <xf numFmtId="0" fontId="0" fillId="0" borderId="0" xfId="0" applyAlignment="1">
      <alignment wrapText="1"/>
    </xf>
    <xf numFmtId="0" fontId="0" fillId="0" borderId="0" xfId="0" pivotButton="1"/>
    <xf numFmtId="0" fontId="0" fillId="0" borderId="0" xfId="0" applyAlignment="1">
      <alignment horizontal="left"/>
    </xf>
  </cellXfs>
  <cellStyles count="1">
    <cellStyle name="Normal" xfId="0" builtinId="0"/>
  </cellStyles>
  <dxfs count="40">
    <dxf>
      <font>
        <strike val="0"/>
        <outline val="0"/>
        <shadow val="0"/>
        <u val="none"/>
        <vertAlign val="baseline"/>
        <sz val="11"/>
        <color theme="0"/>
        <name val="Calibri"/>
        <scheme val="minor"/>
      </font>
      <numFmt numFmtId="13" formatCode="0%"/>
      <fill>
        <patternFill patternType="solid">
          <fgColor indexed="64"/>
          <bgColor theme="3" tint="-0.499984740745262"/>
        </patternFill>
      </fill>
      <border diagonalUp="0" diagonalDown="0">
        <left style="hair">
          <color theme="0"/>
        </left>
        <right style="hair">
          <color theme="0"/>
        </right>
        <top/>
        <bottom/>
      </border>
    </dxf>
    <dxf>
      <font>
        <strike val="0"/>
        <outline val="0"/>
        <shadow val="0"/>
        <u val="none"/>
        <vertAlign val="baseline"/>
        <sz val="11"/>
        <color theme="0"/>
        <name val="Calibri"/>
        <scheme val="minor"/>
      </font>
      <numFmt numFmtId="13" formatCode="0%"/>
      <fill>
        <patternFill patternType="solid">
          <fgColor indexed="64"/>
          <bgColor theme="3" tint="-0.499984740745262"/>
        </patternFill>
      </fill>
      <border diagonalUp="0" diagonalDown="0">
        <left style="hair">
          <color theme="0"/>
        </left>
        <right style="hair">
          <color theme="0"/>
        </right>
        <top/>
        <bottom/>
      </border>
    </dxf>
    <dxf>
      <font>
        <strike val="0"/>
        <outline val="0"/>
        <shadow val="0"/>
        <u val="none"/>
        <vertAlign val="baseline"/>
        <sz val="11"/>
        <color theme="0"/>
        <name val="Calibri"/>
        <scheme val="minor"/>
      </font>
      <numFmt numFmtId="166" formatCode="0&quot;%&quot;"/>
      <fill>
        <patternFill patternType="solid">
          <fgColor indexed="64"/>
          <bgColor theme="3" tint="-0.499984740745262"/>
        </patternFill>
      </fill>
      <border diagonalUp="0" diagonalDown="0" outline="0">
        <left style="hair">
          <color theme="0"/>
        </left>
        <right/>
        <top/>
        <bottom/>
      </border>
    </dxf>
    <dxf>
      <font>
        <strike val="0"/>
        <outline val="0"/>
        <shadow val="0"/>
        <u val="none"/>
        <vertAlign val="baseline"/>
        <sz val="11"/>
        <color theme="0"/>
        <name val="Calibri"/>
        <scheme val="minor"/>
      </font>
      <numFmt numFmtId="13" formatCode="0%"/>
      <fill>
        <patternFill patternType="solid">
          <fgColor indexed="64"/>
          <bgColor theme="3" tint="-0.499984740745262"/>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numFmt numFmtId="13" formatCode="0%"/>
      <fill>
        <patternFill patternType="solid">
          <fgColor indexed="64"/>
          <bgColor theme="3" tint="-0.499984740745262"/>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numFmt numFmtId="13" formatCode="0%"/>
      <fill>
        <patternFill patternType="solid">
          <fgColor indexed="64"/>
          <bgColor theme="3" tint="-0.499984740745262"/>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numFmt numFmtId="13" formatCode="0%"/>
      <fill>
        <patternFill patternType="solid">
          <fgColor indexed="64"/>
          <bgColor theme="3" tint="-0.499984740745262"/>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numFmt numFmtId="13" formatCode="0%"/>
      <fill>
        <patternFill patternType="solid">
          <fgColor indexed="64"/>
          <bgColor theme="3" tint="-0.499984740745262"/>
        </patternFill>
      </fill>
      <border diagonalUp="0" diagonalDown="0">
        <left style="hair">
          <color theme="0"/>
        </left>
        <right style="hair">
          <color theme="0"/>
        </right>
        <top/>
        <bottom/>
        <vertical/>
        <horizontal/>
      </border>
    </dxf>
    <dxf>
      <border diagonalUp="0" diagonalDown="0">
        <left style="hair">
          <color theme="0"/>
        </left>
        <right style="hair">
          <color theme="0"/>
        </right>
        <top/>
        <bottom/>
      </border>
    </dxf>
    <dxf>
      <font>
        <strike val="0"/>
        <outline val="0"/>
        <shadow val="0"/>
        <u val="none"/>
        <vertAlign val="baseline"/>
        <sz val="11"/>
        <color theme="0"/>
        <name val="Calibri"/>
        <scheme val="minor"/>
      </font>
      <fill>
        <patternFill patternType="solid">
          <fgColor indexed="64"/>
          <bgColor theme="3" tint="-0.499984740745262"/>
        </patternFill>
      </fill>
    </dxf>
    <dxf>
      <font>
        <b/>
        <i val="0"/>
        <strike val="0"/>
        <condense val="0"/>
        <extend val="0"/>
        <outline val="0"/>
        <shadow val="0"/>
        <u val="none"/>
        <vertAlign val="baseline"/>
        <sz val="11"/>
        <color theme="3" tint="-0.499984740745262"/>
        <name val="Calibri"/>
        <scheme val="minor"/>
      </font>
      <fill>
        <patternFill patternType="solid">
          <fgColor indexed="64"/>
          <bgColor theme="0"/>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numFmt numFmtId="19" formatCode="dd/mm/yyyy"/>
      <fill>
        <patternFill patternType="solid">
          <fgColor indexed="64"/>
          <bgColor theme="3" tint="-0.499984740745262"/>
        </patternFill>
      </fill>
      <border diagonalUp="0" diagonalDown="0" outline="0">
        <left style="hair">
          <color theme="0"/>
        </left>
        <right/>
        <top/>
        <bottom/>
      </border>
    </dxf>
    <dxf>
      <font>
        <strike val="0"/>
        <outline val="0"/>
        <shadow val="0"/>
        <u val="none"/>
        <vertAlign val="baseline"/>
        <sz val="11"/>
        <color theme="0"/>
        <name val="Calibri"/>
        <scheme val="minor"/>
      </font>
      <numFmt numFmtId="19" formatCode="dd/mm/yyyy"/>
      <fill>
        <patternFill patternType="solid">
          <fgColor indexed="64"/>
          <bgColor theme="3" tint="-0.499984740745262"/>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numFmt numFmtId="19" formatCode="dd/mm/yyyy"/>
      <fill>
        <patternFill patternType="solid">
          <fgColor indexed="64"/>
          <bgColor theme="3" tint="-0.499984740745262"/>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numFmt numFmtId="19" formatCode="dd/mm/yyyy"/>
      <fill>
        <patternFill patternType="solid">
          <fgColor indexed="64"/>
          <bgColor theme="3" tint="-0.499984740745262"/>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numFmt numFmtId="19" formatCode="dd/mm/yyyy"/>
      <fill>
        <patternFill patternType="solid">
          <fgColor indexed="64"/>
          <bgColor theme="3" tint="-0.499984740745262"/>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fill>
        <patternFill patternType="solid">
          <fgColor indexed="64"/>
          <bgColor theme="3" tint="-0.499984740745262"/>
        </patternFill>
      </fill>
      <border diagonalUp="0" diagonalDown="0" outline="0">
        <left style="hair">
          <color theme="0"/>
        </left>
        <right style="hair">
          <color theme="0"/>
        </right>
        <top/>
        <bottom/>
      </border>
    </dxf>
    <dxf>
      <font>
        <strike val="0"/>
        <outline val="0"/>
        <shadow val="0"/>
        <u val="none"/>
        <vertAlign val="baseline"/>
        <sz val="11"/>
        <color theme="0"/>
        <name val="Calibri"/>
        <scheme val="minor"/>
      </font>
      <fill>
        <patternFill patternType="solid">
          <fgColor indexed="64"/>
          <bgColor theme="3" tint="-0.499984740745262"/>
        </patternFill>
      </fill>
      <border diagonalUp="0" diagonalDown="0" outline="0">
        <left/>
        <right style="hair">
          <color theme="0"/>
        </right>
        <top/>
        <bottom/>
      </border>
    </dxf>
    <dxf>
      <font>
        <strike val="0"/>
        <outline val="0"/>
        <shadow val="0"/>
        <u val="none"/>
        <vertAlign val="baseline"/>
        <sz val="11"/>
        <color theme="0"/>
        <name val="Calibri"/>
        <scheme val="minor"/>
      </font>
      <fill>
        <patternFill patternType="solid">
          <fgColor indexed="64"/>
          <bgColor theme="3" tint="-0.499984740745262"/>
        </patternFill>
      </fill>
    </dxf>
    <dxf>
      <font>
        <strike val="0"/>
        <outline val="0"/>
        <shadow val="0"/>
        <u val="none"/>
        <vertAlign val="baseline"/>
        <sz val="11"/>
        <color theme="3" tint="-0.499984740745262"/>
        <name val="Calibri"/>
        <scheme val="minor"/>
      </font>
      <fill>
        <patternFill patternType="solid">
          <fgColor indexed="64"/>
          <bgColor theme="0"/>
        </patternFill>
      </fill>
      <border diagonalUp="0" diagonalDown="0" outline="0">
        <left style="hair">
          <color theme="0"/>
        </left>
        <right style="hair">
          <color theme="0"/>
        </right>
        <top/>
        <bottom/>
      </border>
    </dxf>
    <dxf>
      <fill>
        <patternFill>
          <fgColor theme="9"/>
          <bgColor theme="9"/>
        </patternFill>
      </fill>
    </dxf>
    <dxf>
      <fill>
        <patternFill>
          <fgColor theme="7"/>
          <bgColor theme="7"/>
        </patternFill>
      </fill>
    </dxf>
    <dxf>
      <fill>
        <patternFill>
          <bgColor rgb="FF0000CC"/>
        </patternFill>
      </fill>
    </dxf>
    <dxf>
      <fill>
        <patternFill>
          <bgColor rgb="FFFF33CC"/>
        </patternFill>
      </fill>
    </dxf>
    <dxf>
      <fill>
        <patternFill>
          <bgColor rgb="FF7332A4"/>
        </patternFill>
      </fill>
    </dxf>
    <dxf>
      <fill>
        <patternFill>
          <fgColor theme="9"/>
          <bgColor theme="9"/>
        </patternFill>
      </fill>
    </dxf>
    <dxf>
      <fill>
        <patternFill>
          <fgColor theme="7"/>
          <bgColor theme="7"/>
        </patternFill>
      </fill>
    </dxf>
    <dxf>
      <fill>
        <patternFill>
          <bgColor rgb="FF0000CC"/>
        </patternFill>
      </fill>
    </dxf>
    <dxf>
      <fill>
        <patternFill>
          <bgColor rgb="FFFF33CC"/>
        </patternFill>
      </fill>
    </dxf>
    <dxf>
      <fill>
        <patternFill>
          <bgColor rgb="FF7332A4"/>
        </patternFill>
      </fill>
    </dxf>
    <dxf>
      <fill>
        <patternFill>
          <fgColor theme="9"/>
          <bgColor theme="9"/>
        </patternFill>
      </fill>
    </dxf>
    <dxf>
      <fill>
        <patternFill>
          <fgColor theme="7"/>
          <bgColor theme="7"/>
        </patternFill>
      </fill>
    </dxf>
    <dxf>
      <fill>
        <patternFill>
          <bgColor rgb="FF0000CC"/>
        </patternFill>
      </fill>
    </dxf>
    <dxf>
      <fill>
        <patternFill>
          <bgColor rgb="FFFF33CC"/>
        </patternFill>
      </fill>
    </dxf>
    <dxf>
      <fill>
        <patternFill>
          <bgColor rgb="FF7332A4"/>
        </patternFill>
      </fill>
    </dxf>
    <dxf>
      <fill>
        <patternFill>
          <fgColor theme="9"/>
          <bgColor theme="9"/>
        </patternFill>
      </fill>
    </dxf>
    <dxf>
      <fill>
        <patternFill>
          <fgColor theme="7"/>
          <bgColor theme="7"/>
        </patternFill>
      </fill>
    </dxf>
    <dxf>
      <fill>
        <patternFill>
          <bgColor rgb="FF0000CC"/>
        </patternFill>
      </fill>
    </dxf>
    <dxf>
      <fill>
        <patternFill>
          <bgColor rgb="FFFF0066"/>
        </patternFill>
      </fill>
    </dxf>
    <dxf>
      <fill>
        <patternFill>
          <bgColor rgb="FF9900CC"/>
        </patternFill>
      </fill>
    </dxf>
  </dxfs>
  <tableStyles count="0" defaultTableStyle="TableStyleMedium2" defaultPivotStyle="PivotStyleLight16"/>
  <colors>
    <mruColors>
      <color rgb="FF7332A4"/>
      <color rgb="FFFF33CC"/>
      <color rgb="FF0000CC"/>
      <color rgb="FF99CCFF"/>
      <color rgb="FF9900CC"/>
      <color rgb="FFFF0066"/>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[Space_Learning.xlsm]Analyse!Tableau croisé dynamique3</c:name>
    <c:fmtId val="2"/>
  </c:pivotSource>
  <c:chart>
    <c:autoTitleDeleted val="1"/>
    <c:pivotFmts>
      <c:pivotFmt>
        <c:idx val="0"/>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231484866148324E-2"/>
          <c:y val="0"/>
          <c:w val="0.86056257356319665"/>
          <c:h val="0.89133057605168275"/>
        </c:manualLayout>
      </c:layout>
      <c:barChart>
        <c:barDir val="bar"/>
        <c:grouping val="clustered"/>
        <c:varyColors val="0"/>
        <c:ser>
          <c:idx val="0"/>
          <c:order val="0"/>
          <c:tx>
            <c:strRef>
              <c:f>Analyse!$B$4</c:f>
              <c:strCache>
                <c:ptCount val="1"/>
                <c:pt idx="0">
                  <c:v>Total</c:v>
                </c:pt>
              </c:strCache>
            </c:strRef>
          </c:tx>
          <c:spPr>
            <a:solidFill>
              <a:schemeClr val="accent1"/>
            </a:solidFill>
            <a:ln>
              <a:noFill/>
            </a:ln>
            <a:effectLst/>
          </c:spPr>
          <c:invertIfNegative val="0"/>
          <c:cat>
            <c:strRef>
              <c:f>Analyse!$A$5</c:f>
              <c:strCache>
                <c:ptCount val="1"/>
                <c:pt idx="0">
                  <c:v>mab</c:v>
                </c:pt>
              </c:strCache>
            </c:strRef>
          </c:cat>
          <c:val>
            <c:numRef>
              <c:f>Analyse!$B$5</c:f>
              <c:numCache>
                <c:formatCode>General</c:formatCode>
                <c:ptCount val="1"/>
                <c:pt idx="0">
                  <c:v>49</c:v>
                </c:pt>
              </c:numCache>
            </c:numRef>
          </c:val>
          <c:extLst>
            <c:ext xmlns:c16="http://schemas.microsoft.com/office/drawing/2014/chart" uri="{C3380CC4-5D6E-409C-BE32-E72D297353CC}">
              <c16:uniqueId val="{00000005-F17E-4A5C-A341-4185B11A9FAD}"/>
            </c:ext>
          </c:extLst>
        </c:ser>
        <c:dLbls>
          <c:showLegendKey val="0"/>
          <c:showVal val="0"/>
          <c:showCatName val="0"/>
          <c:showSerName val="0"/>
          <c:showPercent val="0"/>
          <c:showBubbleSize val="0"/>
        </c:dLbls>
        <c:gapWidth val="182"/>
        <c:overlap val="-4"/>
        <c:axId val="501537392"/>
        <c:axId val="501537808"/>
      </c:barChart>
      <c:catAx>
        <c:axId val="5015373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01537808"/>
        <c:crosses val="autoZero"/>
        <c:auto val="1"/>
        <c:lblAlgn val="ctr"/>
        <c:lblOffset val="100"/>
        <c:noMultiLvlLbl val="0"/>
      </c:catAx>
      <c:valAx>
        <c:axId val="501537808"/>
        <c:scaling>
          <c:orientation val="minMax"/>
        </c:scaling>
        <c:delete val="0"/>
        <c:axPos val="b"/>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01537392"/>
        <c:crosses val="autoZero"/>
        <c:crossBetween val="between"/>
        <c:majorUnit val="5"/>
      </c:valAx>
      <c:spPr>
        <a:noFill/>
        <a:ln>
          <a:noFill/>
        </a:ln>
        <a:effectLst/>
      </c:spPr>
    </c:plotArea>
    <c:plotVisOnly val="1"/>
    <c:dispBlanksAs val="gap"/>
    <c:showDLblsOverMax val="0"/>
  </c:chart>
  <c:spPr>
    <a:solidFill>
      <a:schemeClr val="bg1"/>
    </a:solidFill>
    <a:ln w="0" cap="flat" cmpd="sng" algn="ctr">
      <a:solidFill>
        <a:schemeClr val="tx1">
          <a:lumMod val="15000"/>
          <a:lumOff val="85000"/>
        </a:schemeClr>
      </a:solidFill>
      <a:prstDash val="solid"/>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D$6" max="53" min="1" page="10" val="24"/>
</file>

<file path=xl/ctrlProps/ctrlProp2.xml><?xml version="1.0" encoding="utf-8"?>
<formControlPr xmlns="http://schemas.microsoft.com/office/spreadsheetml/2009/9/main" objectType="Spin" dx="26" fmlaLink="$C$6" max="2050" min="2022" page="10" val="2022"/>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3.jpeg"/><Relationship Id="rId3" Type="http://schemas.openxmlformats.org/officeDocument/2006/relationships/image" Target="../media/image3.jpg"/><Relationship Id="rId7" Type="http://schemas.openxmlformats.org/officeDocument/2006/relationships/image" Target="../media/image12.jpeg"/><Relationship Id="rId2" Type="http://schemas.openxmlformats.org/officeDocument/2006/relationships/image" Target="../media/image2.png"/><Relationship Id="rId1" Type="http://schemas.openxmlformats.org/officeDocument/2006/relationships/image" Target="../media/image9.jpeg"/><Relationship Id="rId6" Type="http://schemas.openxmlformats.org/officeDocument/2006/relationships/image" Target="../media/image11.jpeg"/><Relationship Id="rId5" Type="http://schemas.openxmlformats.org/officeDocument/2006/relationships/image" Target="../media/image4.pn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1.jpeg"/><Relationship Id="rId1" Type="http://schemas.openxmlformats.org/officeDocument/2006/relationships/image" Target="../media/image1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17.jpeg"/><Relationship Id="rId1" Type="http://schemas.openxmlformats.org/officeDocument/2006/relationships/image" Target="../media/image16.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7.jpeg"/><Relationship Id="rId1" Type="http://schemas.openxmlformats.org/officeDocument/2006/relationships/image" Target="../media/image1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1</xdr:col>
      <xdr:colOff>13304</xdr:colOff>
      <xdr:row>1</xdr:row>
      <xdr:rowOff>15240</xdr:rowOff>
    </xdr:from>
    <xdr:to>
      <xdr:col>2</xdr:col>
      <xdr:colOff>379380</xdr:colOff>
      <xdr:row>3</xdr:row>
      <xdr:rowOff>175260</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9124" y="205740"/>
          <a:ext cx="1158556" cy="1203960"/>
        </a:xfrm>
        <a:prstGeom prst="rect">
          <a:avLst/>
        </a:prstGeom>
      </xdr:spPr>
    </xdr:pic>
    <xdr:clientData/>
  </xdr:twoCellAnchor>
  <xdr:twoCellAnchor>
    <xdr:from>
      <xdr:col>3</xdr:col>
      <xdr:colOff>38100</xdr:colOff>
      <xdr:row>1</xdr:row>
      <xdr:rowOff>60960</xdr:rowOff>
    </xdr:from>
    <xdr:to>
      <xdr:col>3</xdr:col>
      <xdr:colOff>228600</xdr:colOff>
      <xdr:row>2</xdr:row>
      <xdr:rowOff>45720</xdr:rowOff>
    </xdr:to>
    <xdr:sp macro="" textlink="">
      <xdr:nvSpPr>
        <xdr:cNvPr id="4" name="Étoile à 5 branches 3">
          <a:extLst>
            <a:ext uri="{FF2B5EF4-FFF2-40B4-BE49-F238E27FC236}">
              <a16:creationId xmlns:a16="http://schemas.microsoft.com/office/drawing/2014/main" id="{00000000-0008-0000-0000-000004000000}"/>
            </a:ext>
          </a:extLst>
        </xdr:cNvPr>
        <xdr:cNvSpPr/>
      </xdr:nvSpPr>
      <xdr:spPr>
        <a:xfrm>
          <a:off x="2133600" y="251460"/>
          <a:ext cx="190500" cy="167640"/>
        </a:xfrm>
        <a:prstGeom prst="star5">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373380</xdr:colOff>
      <xdr:row>2</xdr:row>
      <xdr:rowOff>609600</xdr:rowOff>
    </xdr:from>
    <xdr:to>
      <xdr:col>3</xdr:col>
      <xdr:colOff>495300</xdr:colOff>
      <xdr:row>4</xdr:row>
      <xdr:rowOff>38100</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65020" y="982980"/>
          <a:ext cx="525780" cy="495300"/>
        </a:xfrm>
        <a:prstGeom prst="rect">
          <a:avLst/>
        </a:prstGeom>
      </xdr:spPr>
    </xdr:pic>
    <xdr:clientData/>
  </xdr:twoCellAnchor>
  <xdr:twoCellAnchor editAs="oneCell">
    <xdr:from>
      <xdr:col>9</xdr:col>
      <xdr:colOff>534502</xdr:colOff>
      <xdr:row>1</xdr:row>
      <xdr:rowOff>7620</xdr:rowOff>
    </xdr:from>
    <xdr:to>
      <xdr:col>10</xdr:col>
      <xdr:colOff>873060</xdr:colOff>
      <xdr:row>3</xdr:row>
      <xdr:rowOff>182880</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605862" y="198120"/>
          <a:ext cx="1131038" cy="1219200"/>
        </a:xfrm>
        <a:prstGeom prst="rect">
          <a:avLst/>
        </a:prstGeom>
      </xdr:spPr>
    </xdr:pic>
    <xdr:clientData/>
  </xdr:twoCellAnchor>
  <xdr:twoCellAnchor>
    <xdr:from>
      <xdr:col>9</xdr:col>
      <xdr:colOff>327660</xdr:colOff>
      <xdr:row>1</xdr:row>
      <xdr:rowOff>38100</xdr:rowOff>
    </xdr:from>
    <xdr:to>
      <xdr:col>9</xdr:col>
      <xdr:colOff>518160</xdr:colOff>
      <xdr:row>2</xdr:row>
      <xdr:rowOff>22860</xdr:rowOff>
    </xdr:to>
    <xdr:sp macro="" textlink="">
      <xdr:nvSpPr>
        <xdr:cNvPr id="9" name="Étoile à 5 branches 8">
          <a:extLst>
            <a:ext uri="{FF2B5EF4-FFF2-40B4-BE49-F238E27FC236}">
              <a16:creationId xmlns:a16="http://schemas.microsoft.com/office/drawing/2014/main" id="{00000000-0008-0000-0000-000009000000}"/>
            </a:ext>
          </a:extLst>
        </xdr:cNvPr>
        <xdr:cNvSpPr/>
      </xdr:nvSpPr>
      <xdr:spPr>
        <a:xfrm>
          <a:off x="7399020" y="228600"/>
          <a:ext cx="190500" cy="167640"/>
        </a:xfrm>
        <a:prstGeom prst="star5">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259080</xdr:colOff>
      <xdr:row>1</xdr:row>
      <xdr:rowOff>144780</xdr:rowOff>
    </xdr:from>
    <xdr:to>
      <xdr:col>8</xdr:col>
      <xdr:colOff>449580</xdr:colOff>
      <xdr:row>2</xdr:row>
      <xdr:rowOff>129540</xdr:rowOff>
    </xdr:to>
    <xdr:sp macro="" textlink="">
      <xdr:nvSpPr>
        <xdr:cNvPr id="10" name="Étoile à 5 branches 9">
          <a:extLst>
            <a:ext uri="{FF2B5EF4-FFF2-40B4-BE49-F238E27FC236}">
              <a16:creationId xmlns:a16="http://schemas.microsoft.com/office/drawing/2014/main" id="{00000000-0008-0000-0000-00000A000000}"/>
            </a:ext>
          </a:extLst>
        </xdr:cNvPr>
        <xdr:cNvSpPr/>
      </xdr:nvSpPr>
      <xdr:spPr>
        <a:xfrm>
          <a:off x="6537960" y="335280"/>
          <a:ext cx="190500" cy="167640"/>
        </a:xfrm>
        <a:prstGeom prst="star5">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9</xdr:col>
      <xdr:colOff>45720</xdr:colOff>
      <xdr:row>2</xdr:row>
      <xdr:rowOff>708660</xdr:rowOff>
    </xdr:from>
    <xdr:to>
      <xdr:col>9</xdr:col>
      <xdr:colOff>571500</xdr:colOff>
      <xdr:row>4</xdr:row>
      <xdr:rowOff>22860</xdr:rowOff>
    </xdr:to>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117080" y="1082040"/>
          <a:ext cx="525780" cy="381000"/>
        </a:xfrm>
        <a:prstGeom prst="rect">
          <a:avLst/>
        </a:prstGeom>
      </xdr:spPr>
    </xdr:pic>
    <xdr:clientData/>
  </xdr:twoCellAnchor>
  <xdr:twoCellAnchor editAs="oneCell">
    <xdr:from>
      <xdr:col>5</xdr:col>
      <xdr:colOff>76200</xdr:colOff>
      <xdr:row>5</xdr:row>
      <xdr:rowOff>1726</xdr:rowOff>
    </xdr:from>
    <xdr:to>
      <xdr:col>5</xdr:col>
      <xdr:colOff>640080</xdr:colOff>
      <xdr:row>5</xdr:row>
      <xdr:rowOff>359866</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56660" y="2097226"/>
          <a:ext cx="563880" cy="358140"/>
        </a:xfrm>
        <a:prstGeom prst="rect">
          <a:avLst/>
        </a:prstGeom>
      </xdr:spPr>
    </xdr:pic>
    <xdr:clientData/>
  </xdr:twoCellAnchor>
  <xdr:twoCellAnchor editAs="oneCell">
    <xdr:from>
      <xdr:col>5</xdr:col>
      <xdr:colOff>83820</xdr:colOff>
      <xdr:row>7</xdr:row>
      <xdr:rowOff>1</xdr:rowOff>
    </xdr:from>
    <xdr:to>
      <xdr:col>5</xdr:col>
      <xdr:colOff>670560</xdr:colOff>
      <xdr:row>8</xdr:row>
      <xdr:rowOff>1</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3764280" y="2560321"/>
          <a:ext cx="586740" cy="335280"/>
        </a:xfrm>
        <a:prstGeom prst="rect">
          <a:avLst/>
        </a:prstGeom>
      </xdr:spPr>
    </xdr:pic>
    <xdr:clientData/>
  </xdr:twoCellAnchor>
  <xdr:twoCellAnchor editAs="oneCell">
    <xdr:from>
      <xdr:col>5</xdr:col>
      <xdr:colOff>68580</xdr:colOff>
      <xdr:row>9</xdr:row>
      <xdr:rowOff>45719</xdr:rowOff>
    </xdr:from>
    <xdr:to>
      <xdr:col>5</xdr:col>
      <xdr:colOff>624839</xdr:colOff>
      <xdr:row>9</xdr:row>
      <xdr:rowOff>358138</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49040" y="3055619"/>
          <a:ext cx="556259" cy="3124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15240</xdr:colOff>
          <xdr:row>14</xdr:row>
          <xdr:rowOff>68580</xdr:rowOff>
        </xdr:from>
        <xdr:to>
          <xdr:col>6</xdr:col>
          <xdr:colOff>182880</xdr:colOff>
          <xdr:row>15</xdr:row>
          <xdr:rowOff>220980</xdr:rowOff>
        </xdr:to>
        <xdr:grpSp>
          <xdr:nvGrpSpPr>
            <xdr:cNvPr id="3" name="Groupe 2">
              <a:extLst>
                <a:ext uri="{FF2B5EF4-FFF2-40B4-BE49-F238E27FC236}">
                  <a16:creationId xmlns:a16="http://schemas.microsoft.com/office/drawing/2014/main" id="{00000000-0008-0000-0100-000003000000}"/>
                </a:ext>
              </a:extLst>
            </xdr:cNvPr>
            <xdr:cNvGrpSpPr/>
          </xdr:nvGrpSpPr>
          <xdr:grpSpPr>
            <a:xfrm>
              <a:off x="4274820" y="3870960"/>
              <a:ext cx="167640" cy="381000"/>
              <a:chOff x="3909060" y="3307080"/>
              <a:chExt cx="167640" cy="381000"/>
            </a:xfrm>
          </xdr:grpSpPr>
          <xdr:sp macro="" textlink="">
            <xdr:nvSpPr>
              <xdr:cNvPr id="5124" name="OptionButton1"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3909060" y="3307080"/>
                <a:ext cx="167640" cy="137160"/>
              </a:xfrm>
              <a:prstGeom prst="rect">
                <a:avLst/>
              </a:prstGeom>
              <a:noFill/>
              <a:ln>
                <a:noFill/>
              </a:ln>
              <a:extLst>
                <a:ext uri="{91240B29-F687-4F45-9708-019B960494DF}">
                  <a14:hiddenLine w="9525">
                    <a:noFill/>
                    <a:miter lim="800000"/>
                    <a:headEnd/>
                    <a:tailEnd/>
                  </a14:hiddenLine>
                </a:ext>
              </a:extLst>
            </xdr:spPr>
          </xdr:sp>
          <xdr:sp macro="" textlink="">
            <xdr:nvSpPr>
              <xdr:cNvPr id="5125" name="OptionButton2"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3916680" y="3543300"/>
                <a:ext cx="160020" cy="14478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editAs="oneCell">
    <xdr:from>
      <xdr:col>1</xdr:col>
      <xdr:colOff>22860</xdr:colOff>
      <xdr:row>1</xdr:row>
      <xdr:rowOff>7348</xdr:rowOff>
    </xdr:from>
    <xdr:to>
      <xdr:col>2</xdr:col>
      <xdr:colOff>236220</xdr:colOff>
      <xdr:row>3</xdr:row>
      <xdr:rowOff>193920</xdr:rowOff>
    </xdr:to>
    <xdr:pic>
      <xdr:nvPicPr>
        <xdr:cNvPr id="47" name="Imag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5340" y="197848"/>
          <a:ext cx="1089660" cy="1230512"/>
        </a:xfrm>
        <a:prstGeom prst="rect">
          <a:avLst/>
        </a:prstGeom>
      </xdr:spPr>
    </xdr:pic>
    <xdr:clientData/>
  </xdr:twoCellAnchor>
  <xdr:twoCellAnchor>
    <xdr:from>
      <xdr:col>3</xdr:col>
      <xdr:colOff>38100</xdr:colOff>
      <xdr:row>1</xdr:row>
      <xdr:rowOff>60960</xdr:rowOff>
    </xdr:from>
    <xdr:to>
      <xdr:col>3</xdr:col>
      <xdr:colOff>228600</xdr:colOff>
      <xdr:row>2</xdr:row>
      <xdr:rowOff>45720</xdr:rowOff>
    </xdr:to>
    <xdr:sp macro="" textlink="">
      <xdr:nvSpPr>
        <xdr:cNvPr id="48" name="Étoile à 5 branches 47">
          <a:extLst>
            <a:ext uri="{FF2B5EF4-FFF2-40B4-BE49-F238E27FC236}">
              <a16:creationId xmlns:a16="http://schemas.microsoft.com/office/drawing/2014/main" id="{00000000-0008-0000-0100-000030000000}"/>
            </a:ext>
          </a:extLst>
        </xdr:cNvPr>
        <xdr:cNvSpPr/>
      </xdr:nvSpPr>
      <xdr:spPr>
        <a:xfrm>
          <a:off x="2133600" y="251460"/>
          <a:ext cx="190500" cy="160020"/>
        </a:xfrm>
        <a:prstGeom prst="star5">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220980</xdr:colOff>
      <xdr:row>2</xdr:row>
      <xdr:rowOff>601980</xdr:rowOff>
    </xdr:from>
    <xdr:to>
      <xdr:col>3</xdr:col>
      <xdr:colOff>502920</xdr:colOff>
      <xdr:row>4</xdr:row>
      <xdr:rowOff>60960</xdr:rowOff>
    </xdr:to>
    <xdr:pic>
      <xdr:nvPicPr>
        <xdr:cNvPr id="49" name="Imag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89760" y="967740"/>
          <a:ext cx="533400" cy="525780"/>
        </a:xfrm>
        <a:prstGeom prst="rect">
          <a:avLst/>
        </a:prstGeom>
      </xdr:spPr>
    </xdr:pic>
    <xdr:clientData/>
  </xdr:twoCellAnchor>
  <xdr:twoCellAnchor editAs="oneCell">
    <xdr:from>
      <xdr:col>9</xdr:col>
      <xdr:colOff>77302</xdr:colOff>
      <xdr:row>1</xdr:row>
      <xdr:rowOff>7619</xdr:rowOff>
    </xdr:from>
    <xdr:to>
      <xdr:col>9</xdr:col>
      <xdr:colOff>1097280</xdr:colOff>
      <xdr:row>3</xdr:row>
      <xdr:rowOff>173110</xdr:rowOff>
    </xdr:to>
    <xdr:pic>
      <xdr:nvPicPr>
        <xdr:cNvPr id="50" name="Imag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73502" y="198119"/>
          <a:ext cx="1019978" cy="1209431"/>
        </a:xfrm>
        <a:prstGeom prst="rect">
          <a:avLst/>
        </a:prstGeom>
      </xdr:spPr>
    </xdr:pic>
    <xdr:clientData/>
  </xdr:twoCellAnchor>
  <xdr:twoCellAnchor>
    <xdr:from>
      <xdr:col>8</xdr:col>
      <xdr:colOff>1508760</xdr:colOff>
      <xdr:row>1</xdr:row>
      <xdr:rowOff>53340</xdr:rowOff>
    </xdr:from>
    <xdr:to>
      <xdr:col>8</xdr:col>
      <xdr:colOff>1699260</xdr:colOff>
      <xdr:row>2</xdr:row>
      <xdr:rowOff>38100</xdr:rowOff>
    </xdr:to>
    <xdr:sp macro="" textlink="">
      <xdr:nvSpPr>
        <xdr:cNvPr id="51" name="Étoile à 5 branches 50">
          <a:extLst>
            <a:ext uri="{FF2B5EF4-FFF2-40B4-BE49-F238E27FC236}">
              <a16:creationId xmlns:a16="http://schemas.microsoft.com/office/drawing/2014/main" id="{00000000-0008-0000-0100-000033000000}"/>
            </a:ext>
          </a:extLst>
        </xdr:cNvPr>
        <xdr:cNvSpPr/>
      </xdr:nvSpPr>
      <xdr:spPr>
        <a:xfrm>
          <a:off x="7353300" y="243840"/>
          <a:ext cx="190500" cy="160020"/>
        </a:xfrm>
        <a:prstGeom prst="star5">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533400</xdr:colOff>
      <xdr:row>1</xdr:row>
      <xdr:rowOff>167640</xdr:rowOff>
    </xdr:from>
    <xdr:to>
      <xdr:col>8</xdr:col>
      <xdr:colOff>723900</xdr:colOff>
      <xdr:row>2</xdr:row>
      <xdr:rowOff>152400</xdr:rowOff>
    </xdr:to>
    <xdr:sp macro="" textlink="">
      <xdr:nvSpPr>
        <xdr:cNvPr id="52" name="Étoile à 5 branches 51">
          <a:extLst>
            <a:ext uri="{FF2B5EF4-FFF2-40B4-BE49-F238E27FC236}">
              <a16:creationId xmlns:a16="http://schemas.microsoft.com/office/drawing/2014/main" id="{00000000-0008-0000-0100-000034000000}"/>
            </a:ext>
          </a:extLst>
        </xdr:cNvPr>
        <xdr:cNvSpPr/>
      </xdr:nvSpPr>
      <xdr:spPr>
        <a:xfrm>
          <a:off x="6377940" y="358140"/>
          <a:ext cx="190500" cy="160020"/>
        </a:xfrm>
        <a:prstGeom prst="star5">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8</xdr:col>
      <xdr:colOff>1394460</xdr:colOff>
      <xdr:row>2</xdr:row>
      <xdr:rowOff>601980</xdr:rowOff>
    </xdr:from>
    <xdr:to>
      <xdr:col>9</xdr:col>
      <xdr:colOff>68580</xdr:colOff>
      <xdr:row>4</xdr:row>
      <xdr:rowOff>45720</xdr:rowOff>
    </xdr:to>
    <xdr:pic>
      <xdr:nvPicPr>
        <xdr:cNvPr id="53" name="Imag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239000" y="967740"/>
          <a:ext cx="525780" cy="510540"/>
        </a:xfrm>
        <a:prstGeom prst="rect">
          <a:avLst/>
        </a:prstGeom>
      </xdr:spPr>
    </xdr:pic>
    <xdr:clientData/>
  </xdr:twoCellAnchor>
  <xdr:twoCellAnchor editAs="oneCell">
    <xdr:from>
      <xdr:col>3</xdr:col>
      <xdr:colOff>716279</xdr:colOff>
      <xdr:row>4</xdr:row>
      <xdr:rowOff>58783</xdr:rowOff>
    </xdr:from>
    <xdr:to>
      <xdr:col>5</xdr:col>
      <xdr:colOff>70484</xdr:colOff>
      <xdr:row>5</xdr:row>
      <xdr:rowOff>45720</xdr:rowOff>
    </xdr:to>
    <xdr:pic>
      <xdr:nvPicPr>
        <xdr:cNvPr id="54" name="Imag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H="1">
          <a:off x="2636519" y="1491343"/>
          <a:ext cx="1030605" cy="588917"/>
        </a:xfrm>
        <a:prstGeom prst="rect">
          <a:avLst/>
        </a:prstGeom>
      </xdr:spPr>
    </xdr:pic>
    <xdr:clientData/>
  </xdr:twoCellAnchor>
  <xdr:twoCellAnchor editAs="oneCell">
    <xdr:from>
      <xdr:col>7</xdr:col>
      <xdr:colOff>556260</xdr:colOff>
      <xdr:row>6</xdr:row>
      <xdr:rowOff>15240</xdr:rowOff>
    </xdr:from>
    <xdr:to>
      <xdr:col>7</xdr:col>
      <xdr:colOff>1120140</xdr:colOff>
      <xdr:row>6</xdr:row>
      <xdr:rowOff>373380</xdr:rowOff>
    </xdr:to>
    <xdr:pic>
      <xdr:nvPicPr>
        <xdr:cNvPr id="56" name="Imag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10200" y="2255520"/>
          <a:ext cx="563880" cy="358140"/>
        </a:xfrm>
        <a:prstGeom prst="rect">
          <a:avLst/>
        </a:prstGeom>
      </xdr:spPr>
    </xdr:pic>
    <xdr:clientData/>
  </xdr:twoCellAnchor>
  <xdr:twoCellAnchor editAs="oneCell">
    <xdr:from>
      <xdr:col>7</xdr:col>
      <xdr:colOff>904240</xdr:colOff>
      <xdr:row>24</xdr:row>
      <xdr:rowOff>0</xdr:rowOff>
    </xdr:from>
    <xdr:to>
      <xdr:col>7</xdr:col>
      <xdr:colOff>1432560</xdr:colOff>
      <xdr:row>25</xdr:row>
      <xdr:rowOff>0</xdr:rowOff>
    </xdr:to>
    <xdr:pic>
      <xdr:nvPicPr>
        <xdr:cNvPr id="57" name="Image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5758180" y="6141720"/>
          <a:ext cx="528320" cy="396240"/>
        </a:xfrm>
        <a:prstGeom prst="rect">
          <a:avLst/>
        </a:prstGeom>
      </xdr:spPr>
    </xdr:pic>
    <xdr:clientData/>
  </xdr:twoCellAnchor>
  <xdr:twoCellAnchor editAs="oneCell">
    <xdr:from>
      <xdr:col>7</xdr:col>
      <xdr:colOff>906780</xdr:colOff>
      <xdr:row>26</xdr:row>
      <xdr:rowOff>7620</xdr:rowOff>
    </xdr:from>
    <xdr:to>
      <xdr:col>7</xdr:col>
      <xdr:colOff>1424940</xdr:colOff>
      <xdr:row>27</xdr:row>
      <xdr:rowOff>0</xdr:rowOff>
    </xdr:to>
    <xdr:pic>
      <xdr:nvPicPr>
        <xdr:cNvPr id="58" name="Image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760720" y="6591300"/>
          <a:ext cx="518160" cy="411480"/>
        </a:xfrm>
        <a:prstGeom prst="rect">
          <a:avLst/>
        </a:prstGeom>
      </xdr:spPr>
    </xdr:pic>
    <xdr:clientData/>
  </xdr:twoCellAnchor>
  <xdr:twoCellAnchor editAs="oneCell">
    <xdr:from>
      <xdr:col>8</xdr:col>
      <xdr:colOff>1287780</xdr:colOff>
      <xdr:row>28</xdr:row>
      <xdr:rowOff>7620</xdr:rowOff>
    </xdr:from>
    <xdr:to>
      <xdr:col>8</xdr:col>
      <xdr:colOff>1844039</xdr:colOff>
      <xdr:row>29</xdr:row>
      <xdr:rowOff>7620</xdr:rowOff>
    </xdr:to>
    <xdr:pic>
      <xdr:nvPicPr>
        <xdr:cNvPr id="61" name="Imag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581900" y="7193280"/>
          <a:ext cx="556259" cy="3733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5</xdr:row>
          <xdr:rowOff>7620</xdr:rowOff>
        </xdr:from>
        <xdr:to>
          <xdr:col>4</xdr:col>
          <xdr:colOff>91440</xdr:colOff>
          <xdr:row>6</xdr:row>
          <xdr:rowOff>15240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5</xdr:row>
          <xdr:rowOff>53340</xdr:rowOff>
        </xdr:from>
        <xdr:to>
          <xdr:col>3</xdr:col>
          <xdr:colOff>1097280</xdr:colOff>
          <xdr:row>5</xdr:row>
          <xdr:rowOff>251460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18171</xdr:colOff>
      <xdr:row>2</xdr:row>
      <xdr:rowOff>7620</xdr:rowOff>
    </xdr:from>
    <xdr:to>
      <xdr:col>6</xdr:col>
      <xdr:colOff>632460</xdr:colOff>
      <xdr:row>3</xdr:row>
      <xdr:rowOff>10544</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62911" y="373380"/>
          <a:ext cx="614289" cy="460124"/>
        </a:xfrm>
        <a:prstGeom prst="rect">
          <a:avLst/>
        </a:prstGeom>
      </xdr:spPr>
    </xdr:pic>
    <xdr:clientData/>
  </xdr:twoCellAnchor>
  <xdr:twoCellAnchor editAs="oneCell">
    <xdr:from>
      <xdr:col>3</xdr:col>
      <xdr:colOff>845820</xdr:colOff>
      <xdr:row>2</xdr:row>
      <xdr:rowOff>7620</xdr:rowOff>
    </xdr:from>
    <xdr:to>
      <xdr:col>3</xdr:col>
      <xdr:colOff>1325880</xdr:colOff>
      <xdr:row>3</xdr:row>
      <xdr:rowOff>7620</xdr:rowOff>
    </xdr:to>
    <xdr:pic>
      <xdr:nvPicPr>
        <xdr:cNvPr id="8" name="Imag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3604260" y="373380"/>
          <a:ext cx="480060" cy="457200"/>
        </a:xfrm>
        <a:prstGeom prst="rect">
          <a:avLst/>
        </a:prstGeom>
      </xdr:spPr>
    </xdr:pic>
    <xdr:clientData/>
  </xdr:twoCellAnchor>
  <xdr:twoCellAnchor>
    <xdr:from>
      <xdr:col>5</xdr:col>
      <xdr:colOff>1219200</xdr:colOff>
      <xdr:row>2</xdr:row>
      <xdr:rowOff>30480</xdr:rowOff>
    </xdr:from>
    <xdr:to>
      <xdr:col>5</xdr:col>
      <xdr:colOff>1485900</xdr:colOff>
      <xdr:row>2</xdr:row>
      <xdr:rowOff>175260</xdr:rowOff>
    </xdr:to>
    <xdr:cxnSp macro="">
      <xdr:nvCxnSpPr>
        <xdr:cNvPr id="6" name="Connecteur droit avec flèche 5">
          <a:extLst>
            <a:ext uri="{FF2B5EF4-FFF2-40B4-BE49-F238E27FC236}">
              <a16:creationId xmlns:a16="http://schemas.microsoft.com/office/drawing/2014/main" id="{00000000-0008-0000-0500-000006000000}"/>
            </a:ext>
          </a:extLst>
        </xdr:cNvPr>
        <xdr:cNvCxnSpPr/>
      </xdr:nvCxnSpPr>
      <xdr:spPr>
        <a:xfrm flipV="1">
          <a:off x="7155180" y="396240"/>
          <a:ext cx="266700" cy="144780"/>
        </a:xfrm>
        <a:prstGeom prst="straightConnector1">
          <a:avLst/>
        </a:prstGeom>
        <a:ln>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22861</xdr:colOff>
      <xdr:row>2</xdr:row>
      <xdr:rowOff>38100</xdr:rowOff>
    </xdr:from>
    <xdr:to>
      <xdr:col>5</xdr:col>
      <xdr:colOff>190501</xdr:colOff>
      <xdr:row>2</xdr:row>
      <xdr:rowOff>411480</xdr:rowOff>
    </xdr:to>
    <xdr:sp macro="" textlink="">
      <xdr:nvSpPr>
        <xdr:cNvPr id="9" name="Explosion 2 8">
          <a:extLst>
            <a:ext uri="{FF2B5EF4-FFF2-40B4-BE49-F238E27FC236}">
              <a16:creationId xmlns:a16="http://schemas.microsoft.com/office/drawing/2014/main" id="{00000000-0008-0000-0500-000009000000}"/>
            </a:ext>
          </a:extLst>
        </xdr:cNvPr>
        <xdr:cNvSpPr/>
      </xdr:nvSpPr>
      <xdr:spPr>
        <a:xfrm>
          <a:off x="5958841" y="403860"/>
          <a:ext cx="167640" cy="373380"/>
        </a:xfrm>
        <a:prstGeom prst="irregularSeal2">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2</xdr:col>
          <xdr:colOff>373380</xdr:colOff>
          <xdr:row>5</xdr:row>
          <xdr:rowOff>7620</xdr:rowOff>
        </xdr:from>
        <xdr:to>
          <xdr:col>2</xdr:col>
          <xdr:colOff>464820</xdr:colOff>
          <xdr:row>6</xdr:row>
          <xdr:rowOff>15240</xdr:rowOff>
        </xdr:to>
        <xdr:sp macro="" textlink="">
          <xdr:nvSpPr>
            <xdr:cNvPr id="1029" name="Spinner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922020</xdr:colOff>
      <xdr:row>3</xdr:row>
      <xdr:rowOff>152400</xdr:rowOff>
    </xdr:from>
    <xdr:to>
      <xdr:col>2</xdr:col>
      <xdr:colOff>91440</xdr:colOff>
      <xdr:row>4</xdr:row>
      <xdr:rowOff>3175</xdr:rowOff>
    </xdr:to>
    <xdr:grpSp>
      <xdr:nvGrpSpPr>
        <xdr:cNvPr id="10" name="Icône Vue hebdomadaire" descr="&quot;&quot;" title="Icône Loupe">
          <a:extLst>
            <a:ext uri="{FF2B5EF4-FFF2-40B4-BE49-F238E27FC236}">
              <a16:creationId xmlns:a16="http://schemas.microsoft.com/office/drawing/2014/main" id="{00000000-0008-0000-0500-00000A000000}"/>
            </a:ext>
          </a:extLst>
        </xdr:cNvPr>
        <xdr:cNvGrpSpPr>
          <a:grpSpLocks noChangeAspect="1"/>
        </xdr:cNvGrpSpPr>
      </xdr:nvGrpSpPr>
      <xdr:grpSpPr bwMode="auto">
        <a:xfrm>
          <a:off x="1051560" y="1089660"/>
          <a:ext cx="434340" cy="422275"/>
          <a:chOff x="318" y="23"/>
          <a:chExt cx="29" cy="29"/>
        </a:xfrm>
      </xdr:grpSpPr>
      <xdr:sp macro="" textlink="">
        <xdr:nvSpPr>
          <xdr:cNvPr id="11" name="Rectangle 4">
            <a:extLst>
              <a:ext uri="{FF2B5EF4-FFF2-40B4-BE49-F238E27FC236}">
                <a16:creationId xmlns:a16="http://schemas.microsoft.com/office/drawing/2014/main" id="{00000000-0008-0000-0500-00000B000000}"/>
              </a:ext>
            </a:extLst>
          </xdr:cNvPr>
          <xdr:cNvSpPr>
            <a:spLocks noChangeArrowheads="1"/>
          </xdr:cNvSpPr>
        </xdr:nvSpPr>
        <xdr:spPr bwMode="auto">
          <a:xfrm>
            <a:off x="318" y="23"/>
            <a:ext cx="29" cy="29"/>
          </a:xfrm>
          <a:prstGeom prst="rect">
            <a:avLst/>
          </a:prstGeom>
          <a:noFill/>
          <a:ln w="0">
            <a:no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2" name="Forme libre 5">
            <a:extLst>
              <a:ext uri="{FF2B5EF4-FFF2-40B4-BE49-F238E27FC236}">
                <a16:creationId xmlns:a16="http://schemas.microsoft.com/office/drawing/2014/main" id="{00000000-0008-0000-0500-00000C000000}"/>
              </a:ext>
            </a:extLst>
          </xdr:cNvPr>
          <xdr:cNvSpPr>
            <a:spLocks/>
          </xdr:cNvSpPr>
        </xdr:nvSpPr>
        <xdr:spPr bwMode="auto">
          <a:xfrm>
            <a:off x="318" y="23"/>
            <a:ext cx="29" cy="29"/>
          </a:xfrm>
          <a:custGeom>
            <a:avLst/>
            <a:gdLst>
              <a:gd name="T0" fmla="*/ 2053 w 3281"/>
              <a:gd name="T1" fmla="*/ 3 h 3281"/>
              <a:gd name="T2" fmla="*/ 2228 w 3281"/>
              <a:gd name="T3" fmla="*/ 27 h 3281"/>
              <a:gd name="T4" fmla="*/ 2395 w 3281"/>
              <a:gd name="T5" fmla="*/ 73 h 3281"/>
              <a:gd name="T6" fmla="*/ 2554 w 3281"/>
              <a:gd name="T7" fmla="*/ 140 h 3281"/>
              <a:gd name="T8" fmla="*/ 2700 w 3281"/>
              <a:gd name="T9" fmla="*/ 225 h 3281"/>
              <a:gd name="T10" fmla="*/ 2833 w 3281"/>
              <a:gd name="T11" fmla="*/ 329 h 3281"/>
              <a:gd name="T12" fmla="*/ 2952 w 3281"/>
              <a:gd name="T13" fmla="*/ 448 h 3281"/>
              <a:gd name="T14" fmla="*/ 3056 w 3281"/>
              <a:gd name="T15" fmla="*/ 581 h 3281"/>
              <a:gd name="T16" fmla="*/ 3141 w 3281"/>
              <a:gd name="T17" fmla="*/ 728 h 3281"/>
              <a:gd name="T18" fmla="*/ 3208 w 3281"/>
              <a:gd name="T19" fmla="*/ 886 h 3281"/>
              <a:gd name="T20" fmla="*/ 3254 w 3281"/>
              <a:gd name="T21" fmla="*/ 1053 h 3281"/>
              <a:gd name="T22" fmla="*/ 3277 w 3281"/>
              <a:gd name="T23" fmla="*/ 1228 h 3281"/>
              <a:gd name="T24" fmla="*/ 3277 w 3281"/>
              <a:gd name="T25" fmla="*/ 1409 h 3281"/>
              <a:gd name="T26" fmla="*/ 3254 w 3281"/>
              <a:gd name="T27" fmla="*/ 1584 h 3281"/>
              <a:gd name="T28" fmla="*/ 3208 w 3281"/>
              <a:gd name="T29" fmla="*/ 1751 h 3281"/>
              <a:gd name="T30" fmla="*/ 3141 w 3281"/>
              <a:gd name="T31" fmla="*/ 1909 h 3281"/>
              <a:gd name="T32" fmla="*/ 3056 w 3281"/>
              <a:gd name="T33" fmla="*/ 2055 h 3281"/>
              <a:gd name="T34" fmla="*/ 2952 w 3281"/>
              <a:gd name="T35" fmla="*/ 2189 h 3281"/>
              <a:gd name="T36" fmla="*/ 2833 w 3281"/>
              <a:gd name="T37" fmla="*/ 2308 h 3281"/>
              <a:gd name="T38" fmla="*/ 2700 w 3281"/>
              <a:gd name="T39" fmla="*/ 2411 h 3281"/>
              <a:gd name="T40" fmla="*/ 2554 w 3281"/>
              <a:gd name="T41" fmla="*/ 2497 h 3281"/>
              <a:gd name="T42" fmla="*/ 2395 w 3281"/>
              <a:gd name="T43" fmla="*/ 2564 h 3281"/>
              <a:gd name="T44" fmla="*/ 2228 w 3281"/>
              <a:gd name="T45" fmla="*/ 2610 h 3281"/>
              <a:gd name="T46" fmla="*/ 2053 w 3281"/>
              <a:gd name="T47" fmla="*/ 2633 h 3281"/>
              <a:gd name="T48" fmla="*/ 1875 w 3281"/>
              <a:gd name="T49" fmla="*/ 2634 h 3281"/>
              <a:gd name="T50" fmla="*/ 1704 w 3281"/>
              <a:gd name="T51" fmla="*/ 2611 h 3281"/>
              <a:gd name="T52" fmla="*/ 1542 w 3281"/>
              <a:gd name="T53" fmla="*/ 2567 h 3281"/>
              <a:gd name="T54" fmla="*/ 1389 w 3281"/>
              <a:gd name="T55" fmla="*/ 2504 h 3281"/>
              <a:gd name="T56" fmla="*/ 1245 w 3281"/>
              <a:gd name="T57" fmla="*/ 2422 h 3281"/>
              <a:gd name="T58" fmla="*/ 271 w 3281"/>
              <a:gd name="T59" fmla="*/ 3281 h 3281"/>
              <a:gd name="T60" fmla="*/ 906 w 3281"/>
              <a:gd name="T61" fmla="*/ 2104 h 3281"/>
              <a:gd name="T62" fmla="*/ 816 w 3281"/>
              <a:gd name="T63" fmla="*/ 1966 h 3281"/>
              <a:gd name="T64" fmla="*/ 743 w 3281"/>
              <a:gd name="T65" fmla="*/ 1817 h 3281"/>
              <a:gd name="T66" fmla="*/ 689 w 3281"/>
              <a:gd name="T67" fmla="*/ 1659 h 3281"/>
              <a:gd name="T68" fmla="*/ 656 w 3281"/>
              <a:gd name="T69" fmla="*/ 1492 h 3281"/>
              <a:gd name="T70" fmla="*/ 645 w 3281"/>
              <a:gd name="T71" fmla="*/ 1318 h 3281"/>
              <a:gd name="T72" fmla="*/ 657 w 3281"/>
              <a:gd name="T73" fmla="*/ 1139 h 3281"/>
              <a:gd name="T74" fmla="*/ 692 w 3281"/>
              <a:gd name="T75" fmla="*/ 968 h 3281"/>
              <a:gd name="T76" fmla="*/ 748 w 3281"/>
              <a:gd name="T77" fmla="*/ 806 h 3281"/>
              <a:gd name="T78" fmla="*/ 824 w 3281"/>
              <a:gd name="T79" fmla="*/ 653 h 3281"/>
              <a:gd name="T80" fmla="*/ 920 w 3281"/>
              <a:gd name="T81" fmla="*/ 513 h 3281"/>
              <a:gd name="T82" fmla="*/ 1031 w 3281"/>
              <a:gd name="T83" fmla="*/ 387 h 3281"/>
              <a:gd name="T84" fmla="*/ 1157 w 3281"/>
              <a:gd name="T85" fmla="*/ 276 h 3281"/>
              <a:gd name="T86" fmla="*/ 1297 w 3281"/>
              <a:gd name="T87" fmla="*/ 180 h 3281"/>
              <a:gd name="T88" fmla="*/ 1450 w 3281"/>
              <a:gd name="T89" fmla="*/ 104 h 3281"/>
              <a:gd name="T90" fmla="*/ 1612 w 3281"/>
              <a:gd name="T91" fmla="*/ 47 h 3281"/>
              <a:gd name="T92" fmla="*/ 1784 w 3281"/>
              <a:gd name="T93" fmla="*/ 12 h 3281"/>
              <a:gd name="T94" fmla="*/ 1963 w 3281"/>
              <a:gd name="T95" fmla="*/ 0 h 32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Lst>
            <a:rect l="0" t="0" r="r" b="b"/>
            <a:pathLst>
              <a:path w="3281" h="3281">
                <a:moveTo>
                  <a:pt x="1963" y="0"/>
                </a:moveTo>
                <a:lnTo>
                  <a:pt x="2053" y="3"/>
                </a:lnTo>
                <a:lnTo>
                  <a:pt x="2142" y="12"/>
                </a:lnTo>
                <a:lnTo>
                  <a:pt x="2228" y="27"/>
                </a:lnTo>
                <a:lnTo>
                  <a:pt x="2313" y="47"/>
                </a:lnTo>
                <a:lnTo>
                  <a:pt x="2395" y="73"/>
                </a:lnTo>
                <a:lnTo>
                  <a:pt x="2475" y="104"/>
                </a:lnTo>
                <a:lnTo>
                  <a:pt x="2554" y="140"/>
                </a:lnTo>
                <a:lnTo>
                  <a:pt x="2628" y="180"/>
                </a:lnTo>
                <a:lnTo>
                  <a:pt x="2700" y="225"/>
                </a:lnTo>
                <a:lnTo>
                  <a:pt x="2768" y="276"/>
                </a:lnTo>
                <a:lnTo>
                  <a:pt x="2833" y="329"/>
                </a:lnTo>
                <a:lnTo>
                  <a:pt x="2894" y="387"/>
                </a:lnTo>
                <a:lnTo>
                  <a:pt x="2952" y="448"/>
                </a:lnTo>
                <a:lnTo>
                  <a:pt x="3005" y="513"/>
                </a:lnTo>
                <a:lnTo>
                  <a:pt x="3056" y="581"/>
                </a:lnTo>
                <a:lnTo>
                  <a:pt x="3101" y="653"/>
                </a:lnTo>
                <a:lnTo>
                  <a:pt x="3141" y="728"/>
                </a:lnTo>
                <a:lnTo>
                  <a:pt x="3177" y="806"/>
                </a:lnTo>
                <a:lnTo>
                  <a:pt x="3208" y="886"/>
                </a:lnTo>
                <a:lnTo>
                  <a:pt x="3234" y="968"/>
                </a:lnTo>
                <a:lnTo>
                  <a:pt x="3254" y="1053"/>
                </a:lnTo>
                <a:lnTo>
                  <a:pt x="3269" y="1139"/>
                </a:lnTo>
                <a:lnTo>
                  <a:pt x="3277" y="1228"/>
                </a:lnTo>
                <a:lnTo>
                  <a:pt x="3281" y="1318"/>
                </a:lnTo>
                <a:lnTo>
                  <a:pt x="3277" y="1409"/>
                </a:lnTo>
                <a:lnTo>
                  <a:pt x="3269" y="1497"/>
                </a:lnTo>
                <a:lnTo>
                  <a:pt x="3254" y="1584"/>
                </a:lnTo>
                <a:lnTo>
                  <a:pt x="3234" y="1669"/>
                </a:lnTo>
                <a:lnTo>
                  <a:pt x="3208" y="1751"/>
                </a:lnTo>
                <a:lnTo>
                  <a:pt x="3177" y="1831"/>
                </a:lnTo>
                <a:lnTo>
                  <a:pt x="3141" y="1909"/>
                </a:lnTo>
                <a:lnTo>
                  <a:pt x="3101" y="1984"/>
                </a:lnTo>
                <a:lnTo>
                  <a:pt x="3056" y="2055"/>
                </a:lnTo>
                <a:lnTo>
                  <a:pt x="3005" y="2124"/>
                </a:lnTo>
                <a:lnTo>
                  <a:pt x="2952" y="2189"/>
                </a:lnTo>
                <a:lnTo>
                  <a:pt x="2894" y="2250"/>
                </a:lnTo>
                <a:lnTo>
                  <a:pt x="2833" y="2308"/>
                </a:lnTo>
                <a:lnTo>
                  <a:pt x="2768" y="2361"/>
                </a:lnTo>
                <a:lnTo>
                  <a:pt x="2700" y="2411"/>
                </a:lnTo>
                <a:lnTo>
                  <a:pt x="2628" y="2457"/>
                </a:lnTo>
                <a:lnTo>
                  <a:pt x="2554" y="2497"/>
                </a:lnTo>
                <a:lnTo>
                  <a:pt x="2475" y="2533"/>
                </a:lnTo>
                <a:lnTo>
                  <a:pt x="2395" y="2564"/>
                </a:lnTo>
                <a:lnTo>
                  <a:pt x="2313" y="2589"/>
                </a:lnTo>
                <a:lnTo>
                  <a:pt x="2228" y="2610"/>
                </a:lnTo>
                <a:lnTo>
                  <a:pt x="2142" y="2624"/>
                </a:lnTo>
                <a:lnTo>
                  <a:pt x="2053" y="2633"/>
                </a:lnTo>
                <a:lnTo>
                  <a:pt x="1963" y="2636"/>
                </a:lnTo>
                <a:lnTo>
                  <a:pt x="1875" y="2634"/>
                </a:lnTo>
                <a:lnTo>
                  <a:pt x="1789" y="2625"/>
                </a:lnTo>
                <a:lnTo>
                  <a:pt x="1704" y="2611"/>
                </a:lnTo>
                <a:lnTo>
                  <a:pt x="1622" y="2592"/>
                </a:lnTo>
                <a:lnTo>
                  <a:pt x="1542" y="2567"/>
                </a:lnTo>
                <a:lnTo>
                  <a:pt x="1464" y="2538"/>
                </a:lnTo>
                <a:lnTo>
                  <a:pt x="1389" y="2504"/>
                </a:lnTo>
                <a:lnTo>
                  <a:pt x="1315" y="2465"/>
                </a:lnTo>
                <a:lnTo>
                  <a:pt x="1245" y="2422"/>
                </a:lnTo>
                <a:lnTo>
                  <a:pt x="1177" y="2375"/>
                </a:lnTo>
                <a:lnTo>
                  <a:pt x="271" y="3281"/>
                </a:lnTo>
                <a:lnTo>
                  <a:pt x="0" y="3010"/>
                </a:lnTo>
                <a:lnTo>
                  <a:pt x="906" y="2104"/>
                </a:lnTo>
                <a:lnTo>
                  <a:pt x="859" y="2036"/>
                </a:lnTo>
                <a:lnTo>
                  <a:pt x="816" y="1966"/>
                </a:lnTo>
                <a:lnTo>
                  <a:pt x="777" y="1892"/>
                </a:lnTo>
                <a:lnTo>
                  <a:pt x="743" y="1817"/>
                </a:lnTo>
                <a:lnTo>
                  <a:pt x="714" y="1739"/>
                </a:lnTo>
                <a:lnTo>
                  <a:pt x="689" y="1659"/>
                </a:lnTo>
                <a:lnTo>
                  <a:pt x="670" y="1576"/>
                </a:lnTo>
                <a:lnTo>
                  <a:pt x="656" y="1492"/>
                </a:lnTo>
                <a:lnTo>
                  <a:pt x="648" y="1406"/>
                </a:lnTo>
                <a:lnTo>
                  <a:pt x="645" y="1318"/>
                </a:lnTo>
                <a:lnTo>
                  <a:pt x="648" y="1228"/>
                </a:lnTo>
                <a:lnTo>
                  <a:pt x="657" y="1139"/>
                </a:lnTo>
                <a:lnTo>
                  <a:pt x="671" y="1053"/>
                </a:lnTo>
                <a:lnTo>
                  <a:pt x="692" y="968"/>
                </a:lnTo>
                <a:lnTo>
                  <a:pt x="717" y="886"/>
                </a:lnTo>
                <a:lnTo>
                  <a:pt x="748" y="806"/>
                </a:lnTo>
                <a:lnTo>
                  <a:pt x="784" y="728"/>
                </a:lnTo>
                <a:lnTo>
                  <a:pt x="824" y="653"/>
                </a:lnTo>
                <a:lnTo>
                  <a:pt x="870" y="581"/>
                </a:lnTo>
                <a:lnTo>
                  <a:pt x="920" y="513"/>
                </a:lnTo>
                <a:lnTo>
                  <a:pt x="973" y="448"/>
                </a:lnTo>
                <a:lnTo>
                  <a:pt x="1031" y="387"/>
                </a:lnTo>
                <a:lnTo>
                  <a:pt x="1092" y="329"/>
                </a:lnTo>
                <a:lnTo>
                  <a:pt x="1157" y="276"/>
                </a:lnTo>
                <a:lnTo>
                  <a:pt x="1226" y="225"/>
                </a:lnTo>
                <a:lnTo>
                  <a:pt x="1297" y="180"/>
                </a:lnTo>
                <a:lnTo>
                  <a:pt x="1372" y="140"/>
                </a:lnTo>
                <a:lnTo>
                  <a:pt x="1450" y="104"/>
                </a:lnTo>
                <a:lnTo>
                  <a:pt x="1530" y="73"/>
                </a:lnTo>
                <a:lnTo>
                  <a:pt x="1612" y="47"/>
                </a:lnTo>
                <a:lnTo>
                  <a:pt x="1697" y="27"/>
                </a:lnTo>
                <a:lnTo>
                  <a:pt x="1784" y="12"/>
                </a:lnTo>
                <a:lnTo>
                  <a:pt x="1872" y="3"/>
                </a:lnTo>
                <a:lnTo>
                  <a:pt x="1963" y="0"/>
                </a:lnTo>
                <a:close/>
              </a:path>
            </a:pathLst>
          </a:custGeom>
          <a:solidFill>
            <a:schemeClr val="accent5">
              <a:lumMod val="20000"/>
              <a:lumOff val="80000"/>
            </a:schemeClr>
          </a:solidFill>
          <a:ln w="0">
            <a:solidFill>
              <a:srgbClr val="BFFF95"/>
            </a:solidFill>
            <a:prstDash val="solid"/>
            <a:round/>
            <a:headEnd/>
            <a:tailEnd/>
          </a:ln>
        </xdr:spPr>
      </xdr:sp>
      <xdr:sp macro="" textlink="">
        <xdr:nvSpPr>
          <xdr:cNvPr id="13" name="Forme libre 6">
            <a:extLst>
              <a:ext uri="{FF2B5EF4-FFF2-40B4-BE49-F238E27FC236}">
                <a16:creationId xmlns:a16="http://schemas.microsoft.com/office/drawing/2014/main" id="{00000000-0008-0000-0500-00000D000000}"/>
              </a:ext>
            </a:extLst>
          </xdr:cNvPr>
          <xdr:cNvSpPr>
            <a:spLocks/>
          </xdr:cNvSpPr>
        </xdr:nvSpPr>
        <xdr:spPr bwMode="auto">
          <a:xfrm>
            <a:off x="326" y="26"/>
            <a:ext cx="18" cy="18"/>
          </a:xfrm>
          <a:custGeom>
            <a:avLst/>
            <a:gdLst>
              <a:gd name="T0" fmla="*/ 1102 w 2043"/>
              <a:gd name="T1" fmla="*/ 3 h 2043"/>
              <a:gd name="T2" fmla="*/ 1256 w 2043"/>
              <a:gd name="T3" fmla="*/ 27 h 2043"/>
              <a:gd name="T4" fmla="*/ 1402 w 2043"/>
              <a:gd name="T5" fmla="*/ 73 h 2043"/>
              <a:gd name="T6" fmla="*/ 1537 w 2043"/>
              <a:gd name="T7" fmla="*/ 139 h 2043"/>
              <a:gd name="T8" fmla="*/ 1661 w 2043"/>
              <a:gd name="T9" fmla="*/ 224 h 2043"/>
              <a:gd name="T10" fmla="*/ 1770 w 2043"/>
              <a:gd name="T11" fmla="*/ 326 h 2043"/>
              <a:gd name="T12" fmla="*/ 1863 w 2043"/>
              <a:gd name="T13" fmla="*/ 442 h 2043"/>
              <a:gd name="T14" fmla="*/ 1939 w 2043"/>
              <a:gd name="T15" fmla="*/ 573 h 2043"/>
              <a:gd name="T16" fmla="*/ 1995 w 2043"/>
              <a:gd name="T17" fmla="*/ 713 h 2043"/>
              <a:gd name="T18" fmla="*/ 2031 w 2043"/>
              <a:gd name="T19" fmla="*/ 863 h 2043"/>
              <a:gd name="T20" fmla="*/ 2043 w 2043"/>
              <a:gd name="T21" fmla="*/ 1021 h 2043"/>
              <a:gd name="T22" fmla="*/ 2031 w 2043"/>
              <a:gd name="T23" fmla="*/ 1180 h 2043"/>
              <a:gd name="T24" fmla="*/ 1995 w 2043"/>
              <a:gd name="T25" fmla="*/ 1330 h 2043"/>
              <a:gd name="T26" fmla="*/ 1939 w 2043"/>
              <a:gd name="T27" fmla="*/ 1470 h 2043"/>
              <a:gd name="T28" fmla="*/ 1863 w 2043"/>
              <a:gd name="T29" fmla="*/ 1600 h 2043"/>
              <a:gd name="T30" fmla="*/ 1770 w 2043"/>
              <a:gd name="T31" fmla="*/ 1717 h 2043"/>
              <a:gd name="T32" fmla="*/ 1661 w 2043"/>
              <a:gd name="T33" fmla="*/ 1819 h 2043"/>
              <a:gd name="T34" fmla="*/ 1537 w 2043"/>
              <a:gd name="T35" fmla="*/ 1903 h 2043"/>
              <a:gd name="T36" fmla="*/ 1402 w 2043"/>
              <a:gd name="T37" fmla="*/ 1970 h 2043"/>
              <a:gd name="T38" fmla="*/ 1256 w 2043"/>
              <a:gd name="T39" fmla="*/ 2016 h 2043"/>
              <a:gd name="T40" fmla="*/ 1102 w 2043"/>
              <a:gd name="T41" fmla="*/ 2040 h 2043"/>
              <a:gd name="T42" fmla="*/ 941 w 2043"/>
              <a:gd name="T43" fmla="*/ 2040 h 2043"/>
              <a:gd name="T44" fmla="*/ 787 w 2043"/>
              <a:gd name="T45" fmla="*/ 2016 h 2043"/>
              <a:gd name="T46" fmla="*/ 642 w 2043"/>
              <a:gd name="T47" fmla="*/ 1970 h 2043"/>
              <a:gd name="T48" fmla="*/ 506 w 2043"/>
              <a:gd name="T49" fmla="*/ 1903 h 2043"/>
              <a:gd name="T50" fmla="*/ 382 w 2043"/>
              <a:gd name="T51" fmla="*/ 1819 h 2043"/>
              <a:gd name="T52" fmla="*/ 273 w 2043"/>
              <a:gd name="T53" fmla="*/ 1717 h 2043"/>
              <a:gd name="T54" fmla="*/ 180 w 2043"/>
              <a:gd name="T55" fmla="*/ 1600 h 2043"/>
              <a:gd name="T56" fmla="*/ 104 w 2043"/>
              <a:gd name="T57" fmla="*/ 1470 h 2043"/>
              <a:gd name="T58" fmla="*/ 47 w 2043"/>
              <a:gd name="T59" fmla="*/ 1330 h 2043"/>
              <a:gd name="T60" fmla="*/ 12 w 2043"/>
              <a:gd name="T61" fmla="*/ 1180 h 2043"/>
              <a:gd name="T62" fmla="*/ 0 w 2043"/>
              <a:gd name="T63" fmla="*/ 1021 h 2043"/>
              <a:gd name="T64" fmla="*/ 12 w 2043"/>
              <a:gd name="T65" fmla="*/ 863 h 2043"/>
              <a:gd name="T66" fmla="*/ 47 w 2043"/>
              <a:gd name="T67" fmla="*/ 713 h 2043"/>
              <a:gd name="T68" fmla="*/ 104 w 2043"/>
              <a:gd name="T69" fmla="*/ 573 h 2043"/>
              <a:gd name="T70" fmla="*/ 180 w 2043"/>
              <a:gd name="T71" fmla="*/ 442 h 2043"/>
              <a:gd name="T72" fmla="*/ 273 w 2043"/>
              <a:gd name="T73" fmla="*/ 326 h 2043"/>
              <a:gd name="T74" fmla="*/ 382 w 2043"/>
              <a:gd name="T75" fmla="*/ 224 h 2043"/>
              <a:gd name="T76" fmla="*/ 506 w 2043"/>
              <a:gd name="T77" fmla="*/ 139 h 2043"/>
              <a:gd name="T78" fmla="*/ 642 w 2043"/>
              <a:gd name="T79" fmla="*/ 73 h 2043"/>
              <a:gd name="T80" fmla="*/ 787 w 2043"/>
              <a:gd name="T81" fmla="*/ 27 h 2043"/>
              <a:gd name="T82" fmla="*/ 941 w 2043"/>
              <a:gd name="T83" fmla="*/ 3 h 20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Lst>
            <a:rect l="0" t="0" r="r" b="b"/>
            <a:pathLst>
              <a:path w="2043" h="2043">
                <a:moveTo>
                  <a:pt x="1022" y="0"/>
                </a:moveTo>
                <a:lnTo>
                  <a:pt x="1102" y="3"/>
                </a:lnTo>
                <a:lnTo>
                  <a:pt x="1180" y="12"/>
                </a:lnTo>
                <a:lnTo>
                  <a:pt x="1256" y="27"/>
                </a:lnTo>
                <a:lnTo>
                  <a:pt x="1330" y="48"/>
                </a:lnTo>
                <a:lnTo>
                  <a:pt x="1402" y="73"/>
                </a:lnTo>
                <a:lnTo>
                  <a:pt x="1471" y="104"/>
                </a:lnTo>
                <a:lnTo>
                  <a:pt x="1537" y="139"/>
                </a:lnTo>
                <a:lnTo>
                  <a:pt x="1601" y="180"/>
                </a:lnTo>
                <a:lnTo>
                  <a:pt x="1661" y="224"/>
                </a:lnTo>
                <a:lnTo>
                  <a:pt x="1717" y="273"/>
                </a:lnTo>
                <a:lnTo>
                  <a:pt x="1770" y="326"/>
                </a:lnTo>
                <a:lnTo>
                  <a:pt x="1819" y="382"/>
                </a:lnTo>
                <a:lnTo>
                  <a:pt x="1863" y="442"/>
                </a:lnTo>
                <a:lnTo>
                  <a:pt x="1904" y="506"/>
                </a:lnTo>
                <a:lnTo>
                  <a:pt x="1939" y="573"/>
                </a:lnTo>
                <a:lnTo>
                  <a:pt x="1970" y="642"/>
                </a:lnTo>
                <a:lnTo>
                  <a:pt x="1995" y="713"/>
                </a:lnTo>
                <a:lnTo>
                  <a:pt x="2016" y="787"/>
                </a:lnTo>
                <a:lnTo>
                  <a:pt x="2031" y="863"/>
                </a:lnTo>
                <a:lnTo>
                  <a:pt x="2040" y="941"/>
                </a:lnTo>
                <a:lnTo>
                  <a:pt x="2043" y="1021"/>
                </a:lnTo>
                <a:lnTo>
                  <a:pt x="2040" y="1102"/>
                </a:lnTo>
                <a:lnTo>
                  <a:pt x="2031" y="1180"/>
                </a:lnTo>
                <a:lnTo>
                  <a:pt x="2016" y="1256"/>
                </a:lnTo>
                <a:lnTo>
                  <a:pt x="1995" y="1330"/>
                </a:lnTo>
                <a:lnTo>
                  <a:pt x="1970" y="1401"/>
                </a:lnTo>
                <a:lnTo>
                  <a:pt x="1939" y="1470"/>
                </a:lnTo>
                <a:lnTo>
                  <a:pt x="1904" y="1537"/>
                </a:lnTo>
                <a:lnTo>
                  <a:pt x="1863" y="1600"/>
                </a:lnTo>
                <a:lnTo>
                  <a:pt x="1819" y="1661"/>
                </a:lnTo>
                <a:lnTo>
                  <a:pt x="1770" y="1717"/>
                </a:lnTo>
                <a:lnTo>
                  <a:pt x="1717" y="1770"/>
                </a:lnTo>
                <a:lnTo>
                  <a:pt x="1661" y="1819"/>
                </a:lnTo>
                <a:lnTo>
                  <a:pt x="1601" y="1863"/>
                </a:lnTo>
                <a:lnTo>
                  <a:pt x="1537" y="1903"/>
                </a:lnTo>
                <a:lnTo>
                  <a:pt x="1471" y="1939"/>
                </a:lnTo>
                <a:lnTo>
                  <a:pt x="1402" y="1970"/>
                </a:lnTo>
                <a:lnTo>
                  <a:pt x="1330" y="1995"/>
                </a:lnTo>
                <a:lnTo>
                  <a:pt x="1256" y="2016"/>
                </a:lnTo>
                <a:lnTo>
                  <a:pt x="1180" y="2031"/>
                </a:lnTo>
                <a:lnTo>
                  <a:pt x="1102" y="2040"/>
                </a:lnTo>
                <a:lnTo>
                  <a:pt x="1022" y="2043"/>
                </a:lnTo>
                <a:lnTo>
                  <a:pt x="941" y="2040"/>
                </a:lnTo>
                <a:lnTo>
                  <a:pt x="863" y="2031"/>
                </a:lnTo>
                <a:lnTo>
                  <a:pt x="787" y="2016"/>
                </a:lnTo>
                <a:lnTo>
                  <a:pt x="713" y="1995"/>
                </a:lnTo>
                <a:lnTo>
                  <a:pt x="642" y="1970"/>
                </a:lnTo>
                <a:lnTo>
                  <a:pt x="573" y="1939"/>
                </a:lnTo>
                <a:lnTo>
                  <a:pt x="506" y="1903"/>
                </a:lnTo>
                <a:lnTo>
                  <a:pt x="443" y="1863"/>
                </a:lnTo>
                <a:lnTo>
                  <a:pt x="382" y="1819"/>
                </a:lnTo>
                <a:lnTo>
                  <a:pt x="326" y="1770"/>
                </a:lnTo>
                <a:lnTo>
                  <a:pt x="273" y="1717"/>
                </a:lnTo>
                <a:lnTo>
                  <a:pt x="224" y="1661"/>
                </a:lnTo>
                <a:lnTo>
                  <a:pt x="180" y="1600"/>
                </a:lnTo>
                <a:lnTo>
                  <a:pt x="139" y="1537"/>
                </a:lnTo>
                <a:lnTo>
                  <a:pt x="104" y="1470"/>
                </a:lnTo>
                <a:lnTo>
                  <a:pt x="73" y="1401"/>
                </a:lnTo>
                <a:lnTo>
                  <a:pt x="47" y="1330"/>
                </a:lnTo>
                <a:lnTo>
                  <a:pt x="27" y="1256"/>
                </a:lnTo>
                <a:lnTo>
                  <a:pt x="12" y="1180"/>
                </a:lnTo>
                <a:lnTo>
                  <a:pt x="3" y="1102"/>
                </a:lnTo>
                <a:lnTo>
                  <a:pt x="0" y="1021"/>
                </a:lnTo>
                <a:lnTo>
                  <a:pt x="3" y="941"/>
                </a:lnTo>
                <a:lnTo>
                  <a:pt x="12" y="863"/>
                </a:lnTo>
                <a:lnTo>
                  <a:pt x="27" y="787"/>
                </a:lnTo>
                <a:lnTo>
                  <a:pt x="47" y="713"/>
                </a:lnTo>
                <a:lnTo>
                  <a:pt x="73" y="642"/>
                </a:lnTo>
                <a:lnTo>
                  <a:pt x="104" y="573"/>
                </a:lnTo>
                <a:lnTo>
                  <a:pt x="139" y="506"/>
                </a:lnTo>
                <a:lnTo>
                  <a:pt x="180" y="442"/>
                </a:lnTo>
                <a:lnTo>
                  <a:pt x="224" y="382"/>
                </a:lnTo>
                <a:lnTo>
                  <a:pt x="273" y="326"/>
                </a:lnTo>
                <a:lnTo>
                  <a:pt x="326" y="273"/>
                </a:lnTo>
                <a:lnTo>
                  <a:pt x="382" y="224"/>
                </a:lnTo>
                <a:lnTo>
                  <a:pt x="443" y="180"/>
                </a:lnTo>
                <a:lnTo>
                  <a:pt x="506" y="139"/>
                </a:lnTo>
                <a:lnTo>
                  <a:pt x="573" y="104"/>
                </a:lnTo>
                <a:lnTo>
                  <a:pt x="642" y="73"/>
                </a:lnTo>
                <a:lnTo>
                  <a:pt x="713" y="48"/>
                </a:lnTo>
                <a:lnTo>
                  <a:pt x="787" y="27"/>
                </a:lnTo>
                <a:lnTo>
                  <a:pt x="863" y="12"/>
                </a:lnTo>
                <a:lnTo>
                  <a:pt x="941" y="3"/>
                </a:lnTo>
                <a:lnTo>
                  <a:pt x="1022" y="0"/>
                </a:lnTo>
                <a:close/>
              </a:path>
            </a:pathLst>
          </a:custGeom>
          <a:solidFill>
            <a:schemeClr val="bg1"/>
          </a:solidFill>
          <a:ln w="0">
            <a:solidFill>
              <a:srgbClr val="FFFFFF"/>
            </a:solidFill>
            <a:prstDash val="solid"/>
            <a:round/>
            <a:headEnd/>
            <a:tailEnd/>
          </a:ln>
        </xdr:spPr>
      </xdr:sp>
      <xdr:sp macro="" textlink="">
        <xdr:nvSpPr>
          <xdr:cNvPr id="14" name="Forme libre 7">
            <a:extLst>
              <a:ext uri="{FF2B5EF4-FFF2-40B4-BE49-F238E27FC236}">
                <a16:creationId xmlns:a16="http://schemas.microsoft.com/office/drawing/2014/main" id="{00000000-0008-0000-0500-00000E000000}"/>
              </a:ext>
            </a:extLst>
          </xdr:cNvPr>
          <xdr:cNvSpPr>
            <a:spLocks/>
          </xdr:cNvSpPr>
        </xdr:nvSpPr>
        <xdr:spPr bwMode="auto">
          <a:xfrm>
            <a:off x="329" y="32"/>
            <a:ext cx="4" cy="12"/>
          </a:xfrm>
          <a:custGeom>
            <a:avLst/>
            <a:gdLst>
              <a:gd name="T0" fmla="*/ 321 w 482"/>
              <a:gd name="T1" fmla="*/ 0 h 1315"/>
              <a:gd name="T2" fmla="*/ 482 w 482"/>
              <a:gd name="T3" fmla="*/ 0 h 1315"/>
              <a:gd name="T4" fmla="*/ 482 w 482"/>
              <a:gd name="T5" fmla="*/ 1315 h 1315"/>
              <a:gd name="T6" fmla="*/ 414 w 482"/>
              <a:gd name="T7" fmla="*/ 1298 h 1315"/>
              <a:gd name="T8" fmla="*/ 347 w 482"/>
              <a:gd name="T9" fmla="*/ 1277 h 1315"/>
              <a:gd name="T10" fmla="*/ 282 w 482"/>
              <a:gd name="T11" fmla="*/ 1251 h 1315"/>
              <a:gd name="T12" fmla="*/ 282 w 482"/>
              <a:gd name="T13" fmla="*/ 360 h 1315"/>
              <a:gd name="T14" fmla="*/ 0 w 482"/>
              <a:gd name="T15" fmla="*/ 360 h 1315"/>
              <a:gd name="T16" fmla="*/ 0 w 482"/>
              <a:gd name="T17" fmla="*/ 217 h 1315"/>
              <a:gd name="T18" fmla="*/ 51 w 482"/>
              <a:gd name="T19" fmla="*/ 216 h 1315"/>
              <a:gd name="T20" fmla="*/ 97 w 482"/>
              <a:gd name="T21" fmla="*/ 212 h 1315"/>
              <a:gd name="T22" fmla="*/ 139 w 482"/>
              <a:gd name="T23" fmla="*/ 205 h 1315"/>
              <a:gd name="T24" fmla="*/ 176 w 482"/>
              <a:gd name="T25" fmla="*/ 197 h 1315"/>
              <a:gd name="T26" fmla="*/ 208 w 482"/>
              <a:gd name="T27" fmla="*/ 185 h 1315"/>
              <a:gd name="T28" fmla="*/ 236 w 482"/>
              <a:gd name="T29" fmla="*/ 172 h 1315"/>
              <a:gd name="T30" fmla="*/ 256 w 482"/>
              <a:gd name="T31" fmla="*/ 157 h 1315"/>
              <a:gd name="T32" fmla="*/ 273 w 482"/>
              <a:gd name="T33" fmla="*/ 139 h 1315"/>
              <a:gd name="T34" fmla="*/ 288 w 482"/>
              <a:gd name="T35" fmla="*/ 118 h 1315"/>
              <a:gd name="T36" fmla="*/ 300 w 482"/>
              <a:gd name="T37" fmla="*/ 93 h 1315"/>
              <a:gd name="T38" fmla="*/ 310 w 482"/>
              <a:gd name="T39" fmla="*/ 66 h 1315"/>
              <a:gd name="T40" fmla="*/ 317 w 482"/>
              <a:gd name="T41" fmla="*/ 34 h 1315"/>
              <a:gd name="T42" fmla="*/ 321 w 482"/>
              <a:gd name="T43" fmla="*/ 0 h 13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482" h="1315">
                <a:moveTo>
                  <a:pt x="321" y="0"/>
                </a:moveTo>
                <a:lnTo>
                  <a:pt x="482" y="0"/>
                </a:lnTo>
                <a:lnTo>
                  <a:pt x="482" y="1315"/>
                </a:lnTo>
                <a:lnTo>
                  <a:pt x="414" y="1298"/>
                </a:lnTo>
                <a:lnTo>
                  <a:pt x="347" y="1277"/>
                </a:lnTo>
                <a:lnTo>
                  <a:pt x="282" y="1251"/>
                </a:lnTo>
                <a:lnTo>
                  <a:pt x="282" y="360"/>
                </a:lnTo>
                <a:lnTo>
                  <a:pt x="0" y="360"/>
                </a:lnTo>
                <a:lnTo>
                  <a:pt x="0" y="217"/>
                </a:lnTo>
                <a:lnTo>
                  <a:pt x="51" y="216"/>
                </a:lnTo>
                <a:lnTo>
                  <a:pt x="97" y="212"/>
                </a:lnTo>
                <a:lnTo>
                  <a:pt x="139" y="205"/>
                </a:lnTo>
                <a:lnTo>
                  <a:pt x="176" y="197"/>
                </a:lnTo>
                <a:lnTo>
                  <a:pt x="208" y="185"/>
                </a:lnTo>
                <a:lnTo>
                  <a:pt x="236" y="172"/>
                </a:lnTo>
                <a:lnTo>
                  <a:pt x="256" y="157"/>
                </a:lnTo>
                <a:lnTo>
                  <a:pt x="273" y="139"/>
                </a:lnTo>
                <a:lnTo>
                  <a:pt x="288" y="118"/>
                </a:lnTo>
                <a:lnTo>
                  <a:pt x="300" y="93"/>
                </a:lnTo>
                <a:lnTo>
                  <a:pt x="310" y="66"/>
                </a:lnTo>
                <a:lnTo>
                  <a:pt x="317" y="34"/>
                </a:lnTo>
                <a:lnTo>
                  <a:pt x="321" y="0"/>
                </a:lnTo>
                <a:close/>
              </a:path>
            </a:pathLst>
          </a:custGeom>
          <a:solidFill>
            <a:schemeClr val="accent5"/>
          </a:solidFill>
          <a:ln w="0">
            <a:noFill/>
            <a:prstDash val="solid"/>
            <a:round/>
            <a:headEnd/>
            <a:tailEnd/>
          </a:ln>
        </xdr:spPr>
      </xdr:sp>
      <xdr:sp macro="" textlink="">
        <xdr:nvSpPr>
          <xdr:cNvPr id="15" name="Forme libre 8">
            <a:extLst>
              <a:ext uri="{FF2B5EF4-FFF2-40B4-BE49-F238E27FC236}">
                <a16:creationId xmlns:a16="http://schemas.microsoft.com/office/drawing/2014/main" id="{00000000-0008-0000-0500-00000F000000}"/>
              </a:ext>
            </a:extLst>
          </xdr:cNvPr>
          <xdr:cNvSpPr>
            <a:spLocks noEditPoints="1"/>
          </xdr:cNvSpPr>
        </xdr:nvSpPr>
        <xdr:spPr bwMode="auto">
          <a:xfrm>
            <a:off x="337" y="32"/>
            <a:ext cx="7" cy="11"/>
          </a:xfrm>
          <a:custGeom>
            <a:avLst/>
            <a:gdLst>
              <a:gd name="T0" fmla="*/ 434 w 793"/>
              <a:gd name="T1" fmla="*/ 160 h 1332"/>
              <a:gd name="T2" fmla="*/ 344 w 793"/>
              <a:gd name="T3" fmla="*/ 196 h 1332"/>
              <a:gd name="T4" fmla="*/ 278 w 793"/>
              <a:gd name="T5" fmla="*/ 262 h 1332"/>
              <a:gd name="T6" fmla="*/ 248 w 793"/>
              <a:gd name="T7" fmla="*/ 350 h 1332"/>
              <a:gd name="T8" fmla="*/ 255 w 793"/>
              <a:gd name="T9" fmla="*/ 457 h 1332"/>
              <a:gd name="T10" fmla="*/ 304 w 793"/>
              <a:gd name="T11" fmla="*/ 542 h 1332"/>
              <a:gd name="T12" fmla="*/ 395 w 793"/>
              <a:gd name="T13" fmla="*/ 612 h 1332"/>
              <a:gd name="T14" fmla="*/ 462 w 793"/>
              <a:gd name="T15" fmla="*/ 646 h 1332"/>
              <a:gd name="T16" fmla="*/ 576 w 793"/>
              <a:gd name="T17" fmla="*/ 696 h 1332"/>
              <a:gd name="T18" fmla="*/ 690 w 793"/>
              <a:gd name="T19" fmla="*/ 639 h 1332"/>
              <a:gd name="T20" fmla="*/ 751 w 793"/>
              <a:gd name="T21" fmla="*/ 528 h 1332"/>
              <a:gd name="T22" fmla="*/ 769 w 793"/>
              <a:gd name="T23" fmla="*/ 398 h 1332"/>
              <a:gd name="T24" fmla="*/ 751 w 793"/>
              <a:gd name="T25" fmla="*/ 301 h 1332"/>
              <a:gd name="T26" fmla="*/ 699 w 793"/>
              <a:gd name="T27" fmla="*/ 223 h 1332"/>
              <a:gd name="T28" fmla="*/ 616 w 793"/>
              <a:gd name="T29" fmla="*/ 170 h 1332"/>
              <a:gd name="T30" fmla="*/ 505 w 793"/>
              <a:gd name="T31" fmla="*/ 153 h 1332"/>
              <a:gd name="T32" fmla="*/ 612 w 793"/>
              <a:gd name="T33" fmla="*/ 8 h 1332"/>
              <a:gd name="T34" fmla="*/ 749 w 793"/>
              <a:gd name="T35" fmla="*/ 50 h 1332"/>
              <a:gd name="T36" fmla="*/ 790 w 793"/>
              <a:gd name="T37" fmla="*/ 269 h 1332"/>
              <a:gd name="T38" fmla="*/ 781 w 793"/>
              <a:gd name="T39" fmla="*/ 500 h 1332"/>
              <a:gd name="T40" fmla="*/ 723 w 793"/>
              <a:gd name="T41" fmla="*/ 717 h 1332"/>
              <a:gd name="T42" fmla="*/ 621 w 793"/>
              <a:gd name="T43" fmla="*/ 912 h 1332"/>
              <a:gd name="T44" fmla="*/ 589 w 793"/>
              <a:gd name="T45" fmla="*/ 895 h 1332"/>
              <a:gd name="T46" fmla="*/ 480 w 793"/>
              <a:gd name="T47" fmla="*/ 850 h 1332"/>
              <a:gd name="T48" fmla="*/ 355 w 793"/>
              <a:gd name="T49" fmla="*/ 836 h 1332"/>
              <a:gd name="T50" fmla="*/ 275 w 793"/>
              <a:gd name="T51" fmla="*/ 920 h 1332"/>
              <a:gd name="T52" fmla="*/ 226 w 793"/>
              <a:gd name="T53" fmla="*/ 1025 h 1332"/>
              <a:gd name="T54" fmla="*/ 209 w 793"/>
              <a:gd name="T55" fmla="*/ 1145 h 1332"/>
              <a:gd name="T56" fmla="*/ 227 w 793"/>
              <a:gd name="T57" fmla="*/ 1259 h 1332"/>
              <a:gd name="T58" fmla="*/ 31 w 793"/>
              <a:gd name="T59" fmla="*/ 1332 h 1332"/>
              <a:gd name="T60" fmla="*/ 2 w 793"/>
              <a:gd name="T61" fmla="*/ 1205 h 1332"/>
              <a:gd name="T62" fmla="*/ 10 w 793"/>
              <a:gd name="T63" fmla="*/ 1063 h 1332"/>
              <a:gd name="T64" fmla="*/ 67 w 793"/>
              <a:gd name="T65" fmla="*/ 928 h 1332"/>
              <a:gd name="T66" fmla="*/ 149 w 793"/>
              <a:gd name="T67" fmla="*/ 833 h 1332"/>
              <a:gd name="T68" fmla="*/ 262 w 793"/>
              <a:gd name="T69" fmla="*/ 760 h 1332"/>
              <a:gd name="T70" fmla="*/ 180 w 793"/>
              <a:gd name="T71" fmla="*/ 698 h 1332"/>
              <a:gd name="T72" fmla="*/ 92 w 793"/>
              <a:gd name="T73" fmla="*/ 607 h 1332"/>
              <a:gd name="T74" fmla="*/ 46 w 793"/>
              <a:gd name="T75" fmla="*/ 498 h 1332"/>
              <a:gd name="T76" fmla="*/ 40 w 793"/>
              <a:gd name="T77" fmla="*/ 360 h 1332"/>
              <a:gd name="T78" fmla="*/ 80 w 793"/>
              <a:gd name="T79" fmla="*/ 227 h 1332"/>
              <a:gd name="T80" fmla="*/ 170 w 793"/>
              <a:gd name="T81" fmla="*/ 117 h 1332"/>
              <a:gd name="T82" fmla="*/ 297 w 793"/>
              <a:gd name="T83" fmla="*/ 38 h 1332"/>
              <a:gd name="T84" fmla="*/ 449 w 793"/>
              <a:gd name="T85" fmla="*/ 2 h 13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Lst>
            <a:rect l="0" t="0" r="r" b="b"/>
            <a:pathLst>
              <a:path w="793" h="1332">
                <a:moveTo>
                  <a:pt x="505" y="153"/>
                </a:moveTo>
                <a:lnTo>
                  <a:pt x="468" y="155"/>
                </a:lnTo>
                <a:lnTo>
                  <a:pt x="434" y="160"/>
                </a:lnTo>
                <a:lnTo>
                  <a:pt x="402" y="169"/>
                </a:lnTo>
                <a:lnTo>
                  <a:pt x="372" y="181"/>
                </a:lnTo>
                <a:lnTo>
                  <a:pt x="344" y="196"/>
                </a:lnTo>
                <a:lnTo>
                  <a:pt x="319" y="216"/>
                </a:lnTo>
                <a:lnTo>
                  <a:pt x="297" y="238"/>
                </a:lnTo>
                <a:lnTo>
                  <a:pt x="278" y="262"/>
                </a:lnTo>
                <a:lnTo>
                  <a:pt x="264" y="289"/>
                </a:lnTo>
                <a:lnTo>
                  <a:pt x="254" y="318"/>
                </a:lnTo>
                <a:lnTo>
                  <a:pt x="248" y="350"/>
                </a:lnTo>
                <a:lnTo>
                  <a:pt x="246" y="385"/>
                </a:lnTo>
                <a:lnTo>
                  <a:pt x="248" y="422"/>
                </a:lnTo>
                <a:lnTo>
                  <a:pt x="255" y="457"/>
                </a:lnTo>
                <a:lnTo>
                  <a:pt x="266" y="488"/>
                </a:lnTo>
                <a:lnTo>
                  <a:pt x="283" y="516"/>
                </a:lnTo>
                <a:lnTo>
                  <a:pt x="304" y="542"/>
                </a:lnTo>
                <a:lnTo>
                  <a:pt x="330" y="566"/>
                </a:lnTo>
                <a:lnTo>
                  <a:pt x="360" y="590"/>
                </a:lnTo>
                <a:lnTo>
                  <a:pt x="395" y="612"/>
                </a:lnTo>
                <a:lnTo>
                  <a:pt x="413" y="621"/>
                </a:lnTo>
                <a:lnTo>
                  <a:pt x="435" y="633"/>
                </a:lnTo>
                <a:lnTo>
                  <a:pt x="462" y="646"/>
                </a:lnTo>
                <a:lnTo>
                  <a:pt x="493" y="661"/>
                </a:lnTo>
                <a:lnTo>
                  <a:pt x="536" y="680"/>
                </a:lnTo>
                <a:lnTo>
                  <a:pt x="576" y="696"/>
                </a:lnTo>
                <a:lnTo>
                  <a:pt x="613" y="709"/>
                </a:lnTo>
                <a:lnTo>
                  <a:pt x="655" y="674"/>
                </a:lnTo>
                <a:lnTo>
                  <a:pt x="690" y="639"/>
                </a:lnTo>
                <a:lnTo>
                  <a:pt x="717" y="603"/>
                </a:lnTo>
                <a:lnTo>
                  <a:pt x="737" y="566"/>
                </a:lnTo>
                <a:lnTo>
                  <a:pt x="751" y="528"/>
                </a:lnTo>
                <a:lnTo>
                  <a:pt x="761" y="487"/>
                </a:lnTo>
                <a:lnTo>
                  <a:pt x="767" y="444"/>
                </a:lnTo>
                <a:lnTo>
                  <a:pt x="769" y="398"/>
                </a:lnTo>
                <a:lnTo>
                  <a:pt x="767" y="363"/>
                </a:lnTo>
                <a:lnTo>
                  <a:pt x="761" y="331"/>
                </a:lnTo>
                <a:lnTo>
                  <a:pt x="751" y="301"/>
                </a:lnTo>
                <a:lnTo>
                  <a:pt x="738" y="273"/>
                </a:lnTo>
                <a:lnTo>
                  <a:pt x="720" y="247"/>
                </a:lnTo>
                <a:lnTo>
                  <a:pt x="699" y="223"/>
                </a:lnTo>
                <a:lnTo>
                  <a:pt x="674" y="202"/>
                </a:lnTo>
                <a:lnTo>
                  <a:pt x="646" y="184"/>
                </a:lnTo>
                <a:lnTo>
                  <a:pt x="616" y="170"/>
                </a:lnTo>
                <a:lnTo>
                  <a:pt x="582" y="161"/>
                </a:lnTo>
                <a:lnTo>
                  <a:pt x="545" y="155"/>
                </a:lnTo>
                <a:lnTo>
                  <a:pt x="505" y="153"/>
                </a:lnTo>
                <a:close/>
                <a:moveTo>
                  <a:pt x="506" y="0"/>
                </a:moveTo>
                <a:lnTo>
                  <a:pt x="561" y="2"/>
                </a:lnTo>
                <a:lnTo>
                  <a:pt x="612" y="8"/>
                </a:lnTo>
                <a:lnTo>
                  <a:pt x="661" y="18"/>
                </a:lnTo>
                <a:lnTo>
                  <a:pt x="706" y="33"/>
                </a:lnTo>
                <a:lnTo>
                  <a:pt x="749" y="50"/>
                </a:lnTo>
                <a:lnTo>
                  <a:pt x="768" y="121"/>
                </a:lnTo>
                <a:lnTo>
                  <a:pt x="781" y="194"/>
                </a:lnTo>
                <a:lnTo>
                  <a:pt x="790" y="269"/>
                </a:lnTo>
                <a:lnTo>
                  <a:pt x="793" y="345"/>
                </a:lnTo>
                <a:lnTo>
                  <a:pt x="790" y="424"/>
                </a:lnTo>
                <a:lnTo>
                  <a:pt x="781" y="500"/>
                </a:lnTo>
                <a:lnTo>
                  <a:pt x="767" y="574"/>
                </a:lnTo>
                <a:lnTo>
                  <a:pt x="748" y="647"/>
                </a:lnTo>
                <a:lnTo>
                  <a:pt x="723" y="717"/>
                </a:lnTo>
                <a:lnTo>
                  <a:pt x="694" y="785"/>
                </a:lnTo>
                <a:lnTo>
                  <a:pt x="660" y="850"/>
                </a:lnTo>
                <a:lnTo>
                  <a:pt x="621" y="912"/>
                </a:lnTo>
                <a:lnTo>
                  <a:pt x="618" y="910"/>
                </a:lnTo>
                <a:lnTo>
                  <a:pt x="616" y="909"/>
                </a:lnTo>
                <a:lnTo>
                  <a:pt x="589" y="895"/>
                </a:lnTo>
                <a:lnTo>
                  <a:pt x="558" y="881"/>
                </a:lnTo>
                <a:lnTo>
                  <a:pt x="521" y="866"/>
                </a:lnTo>
                <a:lnTo>
                  <a:pt x="480" y="850"/>
                </a:lnTo>
                <a:lnTo>
                  <a:pt x="436" y="832"/>
                </a:lnTo>
                <a:lnTo>
                  <a:pt x="388" y="812"/>
                </a:lnTo>
                <a:lnTo>
                  <a:pt x="355" y="836"/>
                </a:lnTo>
                <a:lnTo>
                  <a:pt x="326" y="862"/>
                </a:lnTo>
                <a:lnTo>
                  <a:pt x="299" y="890"/>
                </a:lnTo>
                <a:lnTo>
                  <a:pt x="275" y="920"/>
                </a:lnTo>
                <a:lnTo>
                  <a:pt x="255" y="954"/>
                </a:lnTo>
                <a:lnTo>
                  <a:pt x="239" y="988"/>
                </a:lnTo>
                <a:lnTo>
                  <a:pt x="226" y="1025"/>
                </a:lnTo>
                <a:lnTo>
                  <a:pt x="217" y="1063"/>
                </a:lnTo>
                <a:lnTo>
                  <a:pt x="211" y="1103"/>
                </a:lnTo>
                <a:lnTo>
                  <a:pt x="209" y="1145"/>
                </a:lnTo>
                <a:lnTo>
                  <a:pt x="211" y="1185"/>
                </a:lnTo>
                <a:lnTo>
                  <a:pt x="217" y="1223"/>
                </a:lnTo>
                <a:lnTo>
                  <a:pt x="227" y="1259"/>
                </a:lnTo>
                <a:lnTo>
                  <a:pt x="163" y="1288"/>
                </a:lnTo>
                <a:lnTo>
                  <a:pt x="98" y="1312"/>
                </a:lnTo>
                <a:lnTo>
                  <a:pt x="31" y="1332"/>
                </a:lnTo>
                <a:lnTo>
                  <a:pt x="17" y="1291"/>
                </a:lnTo>
                <a:lnTo>
                  <a:pt x="8" y="1249"/>
                </a:lnTo>
                <a:lnTo>
                  <a:pt x="2" y="1205"/>
                </a:lnTo>
                <a:lnTo>
                  <a:pt x="0" y="1161"/>
                </a:lnTo>
                <a:lnTo>
                  <a:pt x="2" y="1111"/>
                </a:lnTo>
                <a:lnTo>
                  <a:pt x="10" y="1063"/>
                </a:lnTo>
                <a:lnTo>
                  <a:pt x="24" y="1017"/>
                </a:lnTo>
                <a:lnTo>
                  <a:pt x="43" y="972"/>
                </a:lnTo>
                <a:lnTo>
                  <a:pt x="67" y="928"/>
                </a:lnTo>
                <a:lnTo>
                  <a:pt x="91" y="894"/>
                </a:lnTo>
                <a:lnTo>
                  <a:pt x="118" y="862"/>
                </a:lnTo>
                <a:lnTo>
                  <a:pt x="149" y="833"/>
                </a:lnTo>
                <a:lnTo>
                  <a:pt x="184" y="806"/>
                </a:lnTo>
                <a:lnTo>
                  <a:pt x="221" y="782"/>
                </a:lnTo>
                <a:lnTo>
                  <a:pt x="262" y="760"/>
                </a:lnTo>
                <a:lnTo>
                  <a:pt x="262" y="753"/>
                </a:lnTo>
                <a:lnTo>
                  <a:pt x="219" y="726"/>
                </a:lnTo>
                <a:lnTo>
                  <a:pt x="180" y="698"/>
                </a:lnTo>
                <a:lnTo>
                  <a:pt x="146" y="669"/>
                </a:lnTo>
                <a:lnTo>
                  <a:pt x="117" y="639"/>
                </a:lnTo>
                <a:lnTo>
                  <a:pt x="92" y="607"/>
                </a:lnTo>
                <a:lnTo>
                  <a:pt x="73" y="574"/>
                </a:lnTo>
                <a:lnTo>
                  <a:pt x="57" y="538"/>
                </a:lnTo>
                <a:lnTo>
                  <a:pt x="46" y="498"/>
                </a:lnTo>
                <a:lnTo>
                  <a:pt x="39" y="455"/>
                </a:lnTo>
                <a:lnTo>
                  <a:pt x="37" y="409"/>
                </a:lnTo>
                <a:lnTo>
                  <a:pt x="40" y="360"/>
                </a:lnTo>
                <a:lnTo>
                  <a:pt x="48" y="313"/>
                </a:lnTo>
                <a:lnTo>
                  <a:pt x="62" y="269"/>
                </a:lnTo>
                <a:lnTo>
                  <a:pt x="80" y="227"/>
                </a:lnTo>
                <a:lnTo>
                  <a:pt x="105" y="188"/>
                </a:lnTo>
                <a:lnTo>
                  <a:pt x="134" y="151"/>
                </a:lnTo>
                <a:lnTo>
                  <a:pt x="170" y="117"/>
                </a:lnTo>
                <a:lnTo>
                  <a:pt x="209" y="86"/>
                </a:lnTo>
                <a:lnTo>
                  <a:pt x="251" y="59"/>
                </a:lnTo>
                <a:lnTo>
                  <a:pt x="297" y="38"/>
                </a:lnTo>
                <a:lnTo>
                  <a:pt x="345" y="21"/>
                </a:lnTo>
                <a:lnTo>
                  <a:pt x="396" y="9"/>
                </a:lnTo>
                <a:lnTo>
                  <a:pt x="449" y="2"/>
                </a:lnTo>
                <a:lnTo>
                  <a:pt x="506" y="0"/>
                </a:lnTo>
                <a:close/>
              </a:path>
            </a:pathLst>
          </a:custGeom>
          <a:solidFill>
            <a:schemeClr val="accent5"/>
          </a:solidFill>
          <a:ln w="0">
            <a:noFill/>
            <a:prstDash val="solid"/>
            <a:round/>
            <a:headEnd/>
            <a:tailEnd/>
          </a:ln>
        </xdr:spPr>
      </xdr:sp>
    </xdr:grpSp>
    <xdr:clientData/>
  </xdr:twoCellAnchor>
  <xdr:twoCellAnchor editAs="oneCell">
    <xdr:from>
      <xdr:col>4</xdr:col>
      <xdr:colOff>1257300</xdr:colOff>
      <xdr:row>0</xdr:row>
      <xdr:rowOff>0</xdr:rowOff>
    </xdr:from>
    <xdr:to>
      <xdr:col>4</xdr:col>
      <xdr:colOff>1813559</xdr:colOff>
      <xdr:row>1</xdr:row>
      <xdr:rowOff>76200</xdr:rowOff>
    </xdr:to>
    <xdr:pic>
      <xdr:nvPicPr>
        <xdr:cNvPr id="16" name="Imag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56860" y="0"/>
          <a:ext cx="556259" cy="373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784857</xdr:colOff>
      <xdr:row>2</xdr:row>
      <xdr:rowOff>0</xdr:rowOff>
    </xdr:from>
    <xdr:to>
      <xdr:col>1</xdr:col>
      <xdr:colOff>786662</xdr:colOff>
      <xdr:row>2</xdr:row>
      <xdr:rowOff>868681</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784857" y="381000"/>
          <a:ext cx="794285" cy="868681"/>
        </a:xfrm>
        <a:prstGeom prst="rect">
          <a:avLst/>
        </a:prstGeom>
      </xdr:spPr>
    </xdr:pic>
    <xdr:clientData/>
  </xdr:twoCellAnchor>
  <xdr:twoCellAnchor editAs="absolute">
    <xdr:from>
      <xdr:col>10</xdr:col>
      <xdr:colOff>15234</xdr:colOff>
      <xdr:row>2</xdr:row>
      <xdr:rowOff>7620</xdr:rowOff>
    </xdr:from>
    <xdr:to>
      <xdr:col>10</xdr:col>
      <xdr:colOff>937259</xdr:colOff>
      <xdr:row>2</xdr:row>
      <xdr:rowOff>876300</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7101834" y="388620"/>
          <a:ext cx="922025" cy="868680"/>
        </a:xfrm>
        <a:prstGeom prst="rect">
          <a:avLst/>
        </a:prstGeom>
      </xdr:spPr>
    </xdr:pic>
    <xdr:clientData/>
  </xdr:twoCellAnchor>
  <xdr:twoCellAnchor>
    <xdr:from>
      <xdr:col>1</xdr:col>
      <xdr:colOff>0</xdr:colOff>
      <xdr:row>13</xdr:row>
      <xdr:rowOff>7620</xdr:rowOff>
    </xdr:from>
    <xdr:to>
      <xdr:col>3</xdr:col>
      <xdr:colOff>7620</xdr:colOff>
      <xdr:row>27</xdr:row>
      <xdr:rowOff>144780</xdr:rowOff>
    </xdr:to>
    <mc:AlternateContent xmlns:mc="http://schemas.openxmlformats.org/markup-compatibility/2006" xmlns:a14="http://schemas.microsoft.com/office/drawing/2010/main">
      <mc:Choice Requires="a14">
        <xdr:graphicFrame macro="">
          <xdr:nvGraphicFramePr>
            <xdr:cNvPr id="19" name="Modules">
              <a:extLst>
                <a:ext uri="{FF2B5EF4-FFF2-40B4-BE49-F238E27FC236}">
                  <a16:creationId xmlns:a16="http://schemas.microsoft.com/office/drawing/2014/main" id="{00000000-0008-0000-0600-00001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dules"/>
            </a:graphicData>
          </a:graphic>
        </xdr:graphicFrame>
      </mc:Choice>
      <mc:Fallback xmlns="">
        <xdr:sp macro="" textlink="">
          <xdr:nvSpPr>
            <xdr:cNvPr id="0" name=""/>
            <xdr:cNvSpPr>
              <a:spLocks noTextEdit="1"/>
            </xdr:cNvSpPr>
          </xdr:nvSpPr>
          <xdr:spPr>
            <a:xfrm>
              <a:off x="792480" y="3185160"/>
              <a:ext cx="1104900" cy="269748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absolute">
    <xdr:from>
      <xdr:col>9</xdr:col>
      <xdr:colOff>83820</xdr:colOff>
      <xdr:row>3</xdr:row>
      <xdr:rowOff>30480</xdr:rowOff>
    </xdr:from>
    <xdr:to>
      <xdr:col>12</xdr:col>
      <xdr:colOff>358140</xdr:colOff>
      <xdr:row>8</xdr:row>
      <xdr:rowOff>129540</xdr:rowOff>
    </xdr:to>
    <xdr:grpSp>
      <xdr:nvGrpSpPr>
        <xdr:cNvPr id="22" name="Groupe 21">
          <a:extLst>
            <a:ext uri="{FF2B5EF4-FFF2-40B4-BE49-F238E27FC236}">
              <a16:creationId xmlns:a16="http://schemas.microsoft.com/office/drawing/2014/main" id="{00000000-0008-0000-0600-000016000000}"/>
            </a:ext>
          </a:extLst>
        </xdr:cNvPr>
        <xdr:cNvGrpSpPr/>
      </xdr:nvGrpSpPr>
      <xdr:grpSpPr>
        <a:xfrm>
          <a:off x="6873240" y="1295400"/>
          <a:ext cx="2301240" cy="1021080"/>
          <a:chOff x="398828" y="1270411"/>
          <a:chExt cx="1783080" cy="670560"/>
        </a:xfrm>
      </xdr:grpSpPr>
      <xdr:sp macro="" textlink="">
        <xdr:nvSpPr>
          <xdr:cNvPr id="23" name="Rectangle à coins arrondis 22">
            <a:extLst>
              <a:ext uri="{FF2B5EF4-FFF2-40B4-BE49-F238E27FC236}">
                <a16:creationId xmlns:a16="http://schemas.microsoft.com/office/drawing/2014/main" id="{00000000-0008-0000-0600-000017000000}"/>
              </a:ext>
            </a:extLst>
          </xdr:cNvPr>
          <xdr:cNvSpPr/>
        </xdr:nvSpPr>
        <xdr:spPr>
          <a:xfrm>
            <a:off x="398828" y="1270411"/>
            <a:ext cx="1783080" cy="670560"/>
          </a:xfrm>
          <a:prstGeom prst="roundRect">
            <a:avLst/>
          </a:prstGeom>
          <a:solidFill>
            <a:schemeClr val="bg1"/>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i="1">
                <a:solidFill>
                  <a:srgbClr val="002060"/>
                </a:solidFill>
                <a:latin typeface="Aparajita" panose="020B0604020202020204" pitchFamily="34" charset="0"/>
                <a:cs typeface="Aparajita" panose="020B0604020202020204" pitchFamily="34" charset="0"/>
              </a:rPr>
              <a:t>Nombre de Disciplines Memorisés à long terme</a:t>
            </a:r>
          </a:p>
        </xdr:txBody>
      </xdr:sp>
      <xdr:sp macro="" textlink="">
        <xdr:nvSpPr>
          <xdr:cNvPr id="24" name="Rectangle 23">
            <a:extLst>
              <a:ext uri="{FF2B5EF4-FFF2-40B4-BE49-F238E27FC236}">
                <a16:creationId xmlns:a16="http://schemas.microsoft.com/office/drawing/2014/main" id="{00000000-0008-0000-0600-000018000000}"/>
              </a:ext>
            </a:extLst>
          </xdr:cNvPr>
          <xdr:cNvSpPr/>
        </xdr:nvSpPr>
        <xdr:spPr>
          <a:xfrm>
            <a:off x="503314" y="1302534"/>
            <a:ext cx="90174" cy="604899"/>
          </a:xfrm>
          <a:prstGeom prst="rect">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Analyse!E20">
        <xdr:nvSpPr>
          <xdr:cNvPr id="25" name="ZoneTexte 24">
            <a:extLst>
              <a:ext uri="{FF2B5EF4-FFF2-40B4-BE49-F238E27FC236}">
                <a16:creationId xmlns:a16="http://schemas.microsoft.com/office/drawing/2014/main" id="{00000000-0008-0000-0600-000019000000}"/>
              </a:ext>
            </a:extLst>
          </xdr:cNvPr>
          <xdr:cNvSpPr txBox="1"/>
        </xdr:nvSpPr>
        <xdr:spPr>
          <a:xfrm>
            <a:off x="832158" y="1623473"/>
            <a:ext cx="744242" cy="19819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3967854-F5BE-47DB-BD2A-CC4C7D93CE80}" type="TxLink">
              <a:rPr lang="en-US" sz="2600" b="0" i="0" u="none" strike="noStrike">
                <a:solidFill>
                  <a:srgbClr val="333F4F"/>
                </a:solidFill>
                <a:latin typeface="Aparajita"/>
                <a:cs typeface="Aparajita"/>
              </a:rPr>
              <a:pPr algn="ctr"/>
              <a:t>1</a:t>
            </a:fld>
            <a:endParaRPr lang="fr-FR" sz="2800">
              <a:solidFill>
                <a:schemeClr val="accent5">
                  <a:lumMod val="50000"/>
                </a:schemeClr>
              </a:solidFill>
              <a:latin typeface="Aparajita" panose="020B0604020202020204" pitchFamily="34" charset="0"/>
              <a:cs typeface="Aparajita" panose="020B0604020202020204" pitchFamily="34" charset="0"/>
            </a:endParaRPr>
          </a:p>
        </xdr:txBody>
      </xdr:sp>
    </xdr:grpSp>
    <xdr:clientData/>
  </xdr:twoCellAnchor>
  <xdr:twoCellAnchor editAs="absolute">
    <xdr:from>
      <xdr:col>3</xdr:col>
      <xdr:colOff>762000</xdr:colOff>
      <xdr:row>3</xdr:row>
      <xdr:rowOff>30480</xdr:rowOff>
    </xdr:from>
    <xdr:to>
      <xdr:col>6</xdr:col>
      <xdr:colOff>373380</xdr:colOff>
      <xdr:row>9</xdr:row>
      <xdr:rowOff>7620</xdr:rowOff>
    </xdr:to>
    <xdr:grpSp>
      <xdr:nvGrpSpPr>
        <xdr:cNvPr id="26" name="Groupe 25">
          <a:extLst>
            <a:ext uri="{FF2B5EF4-FFF2-40B4-BE49-F238E27FC236}">
              <a16:creationId xmlns:a16="http://schemas.microsoft.com/office/drawing/2014/main" id="{00000000-0008-0000-0600-00001A000000}"/>
            </a:ext>
          </a:extLst>
        </xdr:cNvPr>
        <xdr:cNvGrpSpPr/>
      </xdr:nvGrpSpPr>
      <xdr:grpSpPr>
        <a:xfrm>
          <a:off x="2651760" y="1295400"/>
          <a:ext cx="1988820" cy="1082040"/>
          <a:chOff x="398828" y="1270411"/>
          <a:chExt cx="1783080" cy="670560"/>
        </a:xfrm>
      </xdr:grpSpPr>
      <xdr:sp macro="" textlink="">
        <xdr:nvSpPr>
          <xdr:cNvPr id="27" name="Rectangle à coins arrondis 26">
            <a:extLst>
              <a:ext uri="{FF2B5EF4-FFF2-40B4-BE49-F238E27FC236}">
                <a16:creationId xmlns:a16="http://schemas.microsoft.com/office/drawing/2014/main" id="{00000000-0008-0000-0600-00001B000000}"/>
              </a:ext>
            </a:extLst>
          </xdr:cNvPr>
          <xdr:cNvSpPr/>
        </xdr:nvSpPr>
        <xdr:spPr>
          <a:xfrm>
            <a:off x="398828" y="1270411"/>
            <a:ext cx="1783080" cy="670560"/>
          </a:xfrm>
          <a:prstGeom prst="roundRect">
            <a:avLst/>
          </a:prstGeom>
          <a:solidFill>
            <a:schemeClr val="bg1"/>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i="1">
                <a:solidFill>
                  <a:srgbClr val="002060"/>
                </a:solidFill>
                <a:latin typeface="Aparajita" panose="020B0604020202020204" pitchFamily="34" charset="0"/>
                <a:cs typeface="Aparajita" panose="020B0604020202020204" pitchFamily="34" charset="0"/>
              </a:rPr>
              <a:t>Nombre de Disciplines inscrits</a:t>
            </a:r>
          </a:p>
        </xdr:txBody>
      </xdr:sp>
      <xdr:sp macro="" textlink="">
        <xdr:nvSpPr>
          <xdr:cNvPr id="28" name="Rectangle 27">
            <a:extLst>
              <a:ext uri="{FF2B5EF4-FFF2-40B4-BE49-F238E27FC236}">
                <a16:creationId xmlns:a16="http://schemas.microsoft.com/office/drawing/2014/main" id="{00000000-0008-0000-0600-00001C000000}"/>
              </a:ext>
            </a:extLst>
          </xdr:cNvPr>
          <xdr:cNvSpPr/>
        </xdr:nvSpPr>
        <xdr:spPr>
          <a:xfrm>
            <a:off x="503314" y="1302534"/>
            <a:ext cx="90174" cy="604899"/>
          </a:xfrm>
          <a:prstGeom prst="rect">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Analyse!C20">
        <xdr:nvSpPr>
          <xdr:cNvPr id="29" name="ZoneTexte 28">
            <a:extLst>
              <a:ext uri="{FF2B5EF4-FFF2-40B4-BE49-F238E27FC236}">
                <a16:creationId xmlns:a16="http://schemas.microsoft.com/office/drawing/2014/main" id="{00000000-0008-0000-0600-00001D000000}"/>
              </a:ext>
            </a:extLst>
          </xdr:cNvPr>
          <xdr:cNvSpPr txBox="1"/>
        </xdr:nvSpPr>
        <xdr:spPr>
          <a:xfrm>
            <a:off x="832158" y="1623473"/>
            <a:ext cx="744242" cy="19819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3648173-609C-4DDB-B923-6D54673F9F08}" type="TxLink">
              <a:rPr lang="en-US" sz="2600" b="0" i="0" u="none" strike="noStrike">
                <a:solidFill>
                  <a:srgbClr val="333F4F"/>
                </a:solidFill>
                <a:latin typeface="Aparajita"/>
                <a:cs typeface="Aparajita"/>
              </a:rPr>
              <a:pPr algn="ctr"/>
              <a:t>1</a:t>
            </a:fld>
            <a:endParaRPr lang="fr-FR" sz="2800">
              <a:solidFill>
                <a:schemeClr val="accent5">
                  <a:lumMod val="50000"/>
                </a:schemeClr>
              </a:solidFill>
              <a:latin typeface="Aparajita" panose="020B0604020202020204" pitchFamily="34" charset="0"/>
              <a:cs typeface="Aparajita" panose="020B0604020202020204" pitchFamily="34" charset="0"/>
            </a:endParaRPr>
          </a:p>
        </xdr:txBody>
      </xdr:sp>
    </xdr:grpSp>
    <xdr:clientData/>
  </xdr:twoCellAnchor>
  <xdr:twoCellAnchor editAs="absolute">
    <xdr:from>
      <xdr:col>6</xdr:col>
      <xdr:colOff>502920</xdr:colOff>
      <xdr:row>3</xdr:row>
      <xdr:rowOff>45720</xdr:rowOff>
    </xdr:from>
    <xdr:to>
      <xdr:col>8</xdr:col>
      <xdr:colOff>906780</xdr:colOff>
      <xdr:row>9</xdr:row>
      <xdr:rowOff>22860</xdr:rowOff>
    </xdr:to>
    <xdr:grpSp>
      <xdr:nvGrpSpPr>
        <xdr:cNvPr id="30" name="Groupe 29">
          <a:extLst>
            <a:ext uri="{FF2B5EF4-FFF2-40B4-BE49-F238E27FC236}">
              <a16:creationId xmlns:a16="http://schemas.microsoft.com/office/drawing/2014/main" id="{00000000-0008-0000-0600-00001E000000}"/>
            </a:ext>
          </a:extLst>
        </xdr:cNvPr>
        <xdr:cNvGrpSpPr/>
      </xdr:nvGrpSpPr>
      <xdr:grpSpPr>
        <a:xfrm>
          <a:off x="4770120" y="1310640"/>
          <a:ext cx="1988820" cy="1082040"/>
          <a:chOff x="398828" y="1270411"/>
          <a:chExt cx="1783080" cy="670560"/>
        </a:xfrm>
      </xdr:grpSpPr>
      <xdr:sp macro="" textlink="">
        <xdr:nvSpPr>
          <xdr:cNvPr id="31" name="Rectangle à coins arrondis 30">
            <a:extLst>
              <a:ext uri="{FF2B5EF4-FFF2-40B4-BE49-F238E27FC236}">
                <a16:creationId xmlns:a16="http://schemas.microsoft.com/office/drawing/2014/main" id="{00000000-0008-0000-0600-00001F000000}"/>
              </a:ext>
            </a:extLst>
          </xdr:cNvPr>
          <xdr:cNvSpPr/>
        </xdr:nvSpPr>
        <xdr:spPr>
          <a:xfrm>
            <a:off x="398828" y="1270411"/>
            <a:ext cx="1783080" cy="670560"/>
          </a:xfrm>
          <a:prstGeom prst="roundRect">
            <a:avLst/>
          </a:prstGeom>
          <a:solidFill>
            <a:schemeClr val="bg1"/>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i="1">
                <a:solidFill>
                  <a:srgbClr val="002060"/>
                </a:solidFill>
                <a:latin typeface="Aparajita" panose="020B0604020202020204" pitchFamily="34" charset="0"/>
                <a:cs typeface="Aparajita" panose="020B0604020202020204" pitchFamily="34" charset="0"/>
              </a:rPr>
              <a:t>Nombre de Disciplines achévés</a:t>
            </a:r>
          </a:p>
        </xdr:txBody>
      </xdr:sp>
      <xdr:sp macro="" textlink="">
        <xdr:nvSpPr>
          <xdr:cNvPr id="32" name="Rectangle 31">
            <a:extLst>
              <a:ext uri="{FF2B5EF4-FFF2-40B4-BE49-F238E27FC236}">
                <a16:creationId xmlns:a16="http://schemas.microsoft.com/office/drawing/2014/main" id="{00000000-0008-0000-0600-000020000000}"/>
              </a:ext>
            </a:extLst>
          </xdr:cNvPr>
          <xdr:cNvSpPr/>
        </xdr:nvSpPr>
        <xdr:spPr>
          <a:xfrm>
            <a:off x="503314" y="1302534"/>
            <a:ext cx="90174" cy="604899"/>
          </a:xfrm>
          <a:prstGeom prst="rect">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Analyse!D20">
        <xdr:nvSpPr>
          <xdr:cNvPr id="33" name="ZoneTexte 32">
            <a:extLst>
              <a:ext uri="{FF2B5EF4-FFF2-40B4-BE49-F238E27FC236}">
                <a16:creationId xmlns:a16="http://schemas.microsoft.com/office/drawing/2014/main" id="{00000000-0008-0000-0600-000021000000}"/>
              </a:ext>
            </a:extLst>
          </xdr:cNvPr>
          <xdr:cNvSpPr txBox="1"/>
        </xdr:nvSpPr>
        <xdr:spPr>
          <a:xfrm>
            <a:off x="832158" y="1623473"/>
            <a:ext cx="744242" cy="19819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198785B-6C7F-4FCE-AE4E-10D87700BA10}" type="TxLink">
              <a:rPr lang="en-US" sz="2600" b="0" i="0" u="none" strike="noStrike">
                <a:solidFill>
                  <a:srgbClr val="333F4F"/>
                </a:solidFill>
                <a:latin typeface="Aparajita"/>
                <a:cs typeface="Aparajita"/>
              </a:rPr>
              <a:pPr algn="ctr"/>
              <a:t>1</a:t>
            </a:fld>
            <a:endParaRPr lang="fr-FR" sz="2800">
              <a:solidFill>
                <a:schemeClr val="accent5">
                  <a:lumMod val="50000"/>
                </a:schemeClr>
              </a:solidFill>
              <a:latin typeface="Aparajita" panose="020B0604020202020204" pitchFamily="34" charset="0"/>
              <a:cs typeface="Aparajita" panose="020B0604020202020204" pitchFamily="34" charset="0"/>
            </a:endParaRPr>
          </a:p>
        </xdr:txBody>
      </xdr:sp>
    </xdr:grpSp>
    <xdr:clientData/>
  </xdr:twoCellAnchor>
  <xdr:twoCellAnchor editAs="absolute">
    <xdr:from>
      <xdr:col>0</xdr:col>
      <xdr:colOff>609600</xdr:colOff>
      <xdr:row>3</xdr:row>
      <xdr:rowOff>0</xdr:rowOff>
    </xdr:from>
    <xdr:to>
      <xdr:col>3</xdr:col>
      <xdr:colOff>708660</xdr:colOff>
      <xdr:row>8</xdr:row>
      <xdr:rowOff>160020</xdr:rowOff>
    </xdr:to>
    <xdr:grpSp>
      <xdr:nvGrpSpPr>
        <xdr:cNvPr id="34" name="Groupe 33">
          <a:extLst>
            <a:ext uri="{FF2B5EF4-FFF2-40B4-BE49-F238E27FC236}">
              <a16:creationId xmlns:a16="http://schemas.microsoft.com/office/drawing/2014/main" id="{00000000-0008-0000-0600-000022000000}"/>
            </a:ext>
          </a:extLst>
        </xdr:cNvPr>
        <xdr:cNvGrpSpPr/>
      </xdr:nvGrpSpPr>
      <xdr:grpSpPr>
        <a:xfrm>
          <a:off x="609600" y="1264920"/>
          <a:ext cx="1988820" cy="1082040"/>
          <a:chOff x="398828" y="1270411"/>
          <a:chExt cx="1783080" cy="670560"/>
        </a:xfrm>
      </xdr:grpSpPr>
      <xdr:sp macro="" textlink="">
        <xdr:nvSpPr>
          <xdr:cNvPr id="35" name="Rectangle à coins arrondis 34">
            <a:extLst>
              <a:ext uri="{FF2B5EF4-FFF2-40B4-BE49-F238E27FC236}">
                <a16:creationId xmlns:a16="http://schemas.microsoft.com/office/drawing/2014/main" id="{00000000-0008-0000-0600-000023000000}"/>
              </a:ext>
            </a:extLst>
          </xdr:cNvPr>
          <xdr:cNvSpPr/>
        </xdr:nvSpPr>
        <xdr:spPr>
          <a:xfrm>
            <a:off x="398828" y="1270411"/>
            <a:ext cx="1783080" cy="670560"/>
          </a:xfrm>
          <a:prstGeom prst="roundRect">
            <a:avLst/>
          </a:prstGeom>
          <a:solidFill>
            <a:schemeClr val="bg1"/>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i="1">
                <a:solidFill>
                  <a:srgbClr val="002060"/>
                </a:solidFill>
                <a:latin typeface="Aparajita" panose="020B0604020202020204" pitchFamily="34" charset="0"/>
                <a:cs typeface="Aparajita" panose="020B0604020202020204" pitchFamily="34" charset="0"/>
              </a:rPr>
              <a:t>Nombre de Modules inscrits</a:t>
            </a:r>
          </a:p>
        </xdr:txBody>
      </xdr:sp>
      <xdr:sp macro="" textlink="">
        <xdr:nvSpPr>
          <xdr:cNvPr id="36" name="Rectangle 35">
            <a:extLst>
              <a:ext uri="{FF2B5EF4-FFF2-40B4-BE49-F238E27FC236}">
                <a16:creationId xmlns:a16="http://schemas.microsoft.com/office/drawing/2014/main" id="{00000000-0008-0000-0600-000024000000}"/>
              </a:ext>
            </a:extLst>
          </xdr:cNvPr>
          <xdr:cNvSpPr/>
        </xdr:nvSpPr>
        <xdr:spPr>
          <a:xfrm>
            <a:off x="503314" y="1302534"/>
            <a:ext cx="90174" cy="604899"/>
          </a:xfrm>
          <a:prstGeom prst="rect">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Analyse!F20">
        <xdr:nvSpPr>
          <xdr:cNvPr id="37" name="ZoneTexte 36">
            <a:extLst>
              <a:ext uri="{FF2B5EF4-FFF2-40B4-BE49-F238E27FC236}">
                <a16:creationId xmlns:a16="http://schemas.microsoft.com/office/drawing/2014/main" id="{00000000-0008-0000-0600-000025000000}"/>
              </a:ext>
            </a:extLst>
          </xdr:cNvPr>
          <xdr:cNvSpPr txBox="1"/>
        </xdr:nvSpPr>
        <xdr:spPr>
          <a:xfrm>
            <a:off x="832158" y="1623473"/>
            <a:ext cx="744242" cy="19819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60BC5CB-94DA-419B-9E63-DDE84EADEE74}" type="TxLink">
              <a:rPr lang="en-US" sz="2600" b="0" i="0" u="none" strike="noStrike">
                <a:solidFill>
                  <a:srgbClr val="333F4F"/>
                </a:solidFill>
                <a:latin typeface="Aparajita"/>
                <a:cs typeface="Aparajita"/>
              </a:rPr>
              <a:pPr algn="ctr"/>
              <a:t>1</a:t>
            </a:fld>
            <a:endParaRPr lang="fr-FR" sz="2800">
              <a:solidFill>
                <a:schemeClr val="accent5">
                  <a:lumMod val="50000"/>
                </a:schemeClr>
              </a:solidFill>
              <a:latin typeface="Aparajita" panose="020B0604020202020204" pitchFamily="34" charset="0"/>
              <a:ea typeface="+mn-ea"/>
              <a:cs typeface="Aparajita" panose="020B0604020202020204" pitchFamily="34" charset="0"/>
            </a:endParaRPr>
          </a:p>
        </xdr:txBody>
      </xdr:sp>
    </xdr:grpSp>
    <xdr:clientData/>
  </xdr:twoCellAnchor>
  <xdr:twoCellAnchor>
    <xdr:from>
      <xdr:col>3</xdr:col>
      <xdr:colOff>15239</xdr:colOff>
      <xdr:row>12</xdr:row>
      <xdr:rowOff>15240</xdr:rowOff>
    </xdr:from>
    <xdr:to>
      <xdr:col>11</xdr:col>
      <xdr:colOff>15240</xdr:colOff>
      <xdr:row>28</xdr:row>
      <xdr:rowOff>0</xdr:rowOff>
    </xdr:to>
    <xdr:graphicFrame macro="">
      <xdr:nvGraphicFramePr>
        <xdr:cNvPr id="38" name="Graphique 37">
          <a:extLst>
            <a:ext uri="{FF2B5EF4-FFF2-40B4-BE49-F238E27FC236}">
              <a16:creationId xmlns:a16="http://schemas.microsoft.com/office/drawing/2014/main" id="{00000000-0008-0000-0600-00002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2</xdr:col>
      <xdr:colOff>1805</xdr:colOff>
      <xdr:row>2</xdr:row>
      <xdr:rowOff>868681</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792480" y="373380"/>
          <a:ext cx="794285" cy="868681"/>
        </a:xfrm>
        <a:prstGeom prst="rect">
          <a:avLst/>
        </a:prstGeom>
      </xdr:spPr>
    </xdr:pic>
    <xdr:clientData/>
  </xdr:twoCellAnchor>
  <xdr:twoCellAnchor editAs="absolute">
    <xdr:from>
      <xdr:col>9</xdr:col>
      <xdr:colOff>7620</xdr:colOff>
      <xdr:row>2</xdr:row>
      <xdr:rowOff>7620</xdr:rowOff>
    </xdr:from>
    <xdr:to>
      <xdr:col>10</xdr:col>
      <xdr:colOff>1</xdr:colOff>
      <xdr:row>2</xdr:row>
      <xdr:rowOff>868680</xdr:rowOff>
    </xdr:to>
    <xdr:pic>
      <xdr:nvPicPr>
        <xdr:cNvPr id="3" name="Imag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7414260" y="381000"/>
          <a:ext cx="784861" cy="86106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495300</xdr:colOff>
          <xdr:row>9</xdr:row>
          <xdr:rowOff>45720</xdr:rowOff>
        </xdr:from>
        <xdr:to>
          <xdr:col>5</xdr:col>
          <xdr:colOff>693420</xdr:colOff>
          <xdr:row>9</xdr:row>
          <xdr:rowOff>586740</xdr:rowOff>
        </xdr:to>
        <xdr:grpSp>
          <xdr:nvGrpSpPr>
            <xdr:cNvPr id="4" name="Groupe 3">
              <a:extLst>
                <a:ext uri="{FF2B5EF4-FFF2-40B4-BE49-F238E27FC236}">
                  <a16:creationId xmlns:a16="http://schemas.microsoft.com/office/drawing/2014/main" id="{00000000-0008-0000-0700-000004000000}"/>
                </a:ext>
              </a:extLst>
            </xdr:cNvPr>
            <xdr:cNvGrpSpPr/>
          </xdr:nvGrpSpPr>
          <xdr:grpSpPr>
            <a:xfrm>
              <a:off x="4351020" y="2971800"/>
              <a:ext cx="198120" cy="541020"/>
              <a:chOff x="4351020" y="3124200"/>
              <a:chExt cx="198120" cy="541020"/>
            </a:xfrm>
          </xdr:grpSpPr>
          <xdr:sp macro="" textlink="">
            <xdr:nvSpPr>
              <xdr:cNvPr id="11267" name="OptionButton3"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4358640" y="3124200"/>
                <a:ext cx="175260" cy="274320"/>
              </a:xfrm>
              <a:prstGeom prst="rect">
                <a:avLst/>
              </a:prstGeom>
              <a:noFill/>
              <a:ln>
                <a:noFill/>
              </a:ln>
              <a:extLst>
                <a:ext uri="{91240B29-F687-4F45-9708-019B960494DF}">
                  <a14:hiddenLine w="9525">
                    <a:noFill/>
                    <a:miter lim="800000"/>
                    <a:headEnd/>
                    <a:tailEnd/>
                  </a14:hiddenLine>
                </a:ext>
              </a:extLst>
            </xdr:spPr>
          </xdr:sp>
          <xdr:sp macro="" textlink="">
            <xdr:nvSpPr>
              <xdr:cNvPr id="11268" name="OptionButton4"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4351020" y="3482340"/>
                <a:ext cx="198120" cy="18288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8</xdr:col>
      <xdr:colOff>647700</xdr:colOff>
      <xdr:row>19</xdr:row>
      <xdr:rowOff>7620</xdr:rowOff>
    </xdr:from>
    <xdr:to>
      <xdr:col>9</xdr:col>
      <xdr:colOff>0</xdr:colOff>
      <xdr:row>20</xdr:row>
      <xdr:rowOff>15240</xdr:rowOff>
    </xdr:to>
    <xdr:sp macro="" textlink="">
      <xdr:nvSpPr>
        <xdr:cNvPr id="5" name="Flèche droite 4">
          <a:extLst>
            <a:ext uri="{FF2B5EF4-FFF2-40B4-BE49-F238E27FC236}">
              <a16:creationId xmlns:a16="http://schemas.microsoft.com/office/drawing/2014/main" id="{00000000-0008-0000-0700-000005000000}"/>
            </a:ext>
          </a:extLst>
        </xdr:cNvPr>
        <xdr:cNvSpPr/>
      </xdr:nvSpPr>
      <xdr:spPr>
        <a:xfrm flipH="1">
          <a:off x="7261860" y="6454140"/>
          <a:ext cx="144780" cy="335280"/>
        </a:xfrm>
        <a:prstGeom prst="rightArrow">
          <a:avLst/>
        </a:prstGeom>
        <a:solidFill>
          <a:schemeClr val="tx2">
            <a:lumMod val="50000"/>
          </a:schemeClr>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nie" refreshedDate="44724.762613310188" createdVersion="6" refreshedVersion="6" minRefreshableVersion="3" recordCount="1" xr:uid="{00000000-000A-0000-FFFF-FFFF00000000}">
  <cacheSource type="worksheet">
    <worksheetSource name="Progression_long_terme"/>
  </cacheSource>
  <cacheFields count="8">
    <cacheField name="Progression jj/j1" numFmtId="9">
      <sharedItems containsSemiMixedTypes="0" containsString="0" containsNumber="1" containsInteger="1" minValue="0" maxValue="0"/>
    </cacheField>
    <cacheField name="Progression jj/j3" numFmtId="9">
      <sharedItems containsSemiMixedTypes="0" containsString="0" containsNumber="1" containsInteger="1" minValue="1" maxValue="1"/>
    </cacheField>
    <cacheField name="Progression jj/j10" numFmtId="9">
      <sharedItems containsSemiMixedTypes="0" containsString="0" containsNumber="1" containsInteger="1" minValue="1" maxValue="1"/>
    </cacheField>
    <cacheField name="Progression jj/j30" numFmtId="9">
      <sharedItems containsSemiMixedTypes="0" containsString="0" containsNumber="1" containsInteger="1" minValue="1" maxValue="1"/>
    </cacheField>
    <cacheField name="Progression jj/j60" numFmtId="9">
      <sharedItems containsSemiMixedTypes="0" containsString="0" containsNumber="1" containsInteger="1" minValue="1" maxValue="1"/>
    </cacheField>
    <cacheField name="Progression jj/fin" numFmtId="166">
      <sharedItems containsSemiMixedTypes="0" containsString="0" containsNumber="1" containsInteger="1" minValue="49" maxValue="49"/>
    </cacheField>
    <cacheField name="Modules" numFmtId="9">
      <sharedItems containsMixedTypes="1" containsNumber="1" containsInteger="1" minValue="0" maxValue="0" count="2">
        <s v="Module 2"/>
        <n v="0" u="1"/>
      </sharedItems>
    </cacheField>
    <cacheField name="Intitulés de cours" numFmtId="9">
      <sharedItems containsMixedTypes="1" containsNumber="1" containsInteger="1" minValue="0" maxValue="0" count="2">
        <s v="mab"/>
        <n v="0"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
  <r>
    <n v="0"/>
    <n v="1"/>
    <n v="1"/>
    <n v="1"/>
    <n v="1"/>
    <n v="49"/>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eau croisé dynamique3" cacheId="5"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chartFormat="3">
  <location ref="A4:B5" firstHeaderRow="1" firstDataRow="1" firstDataCol="1"/>
  <pivotFields count="8">
    <pivotField numFmtId="9" showAll="0" defaultSubtotal="0"/>
    <pivotField numFmtId="9" showAll="0" defaultSubtotal="0"/>
    <pivotField numFmtId="9" showAll="0" defaultSubtotal="0"/>
    <pivotField numFmtId="9" showAll="0" defaultSubtotal="0"/>
    <pivotField numFmtId="9" showAll="0" defaultSubtotal="0"/>
    <pivotField dataField="1" numFmtId="166" multipleItemSelectionAllowed="1" showAll="0" defaultSubtotal="0"/>
    <pivotField multipleItemSelectionAllowed="1" showAll="0" defaultSubtotal="0">
      <items count="2">
        <item h="1" m="1" x="1"/>
        <item x="0"/>
      </items>
    </pivotField>
    <pivotField axis="axisRow" showAll="0" measureFilter="1" sortType="ascending" defaultSubtotal="0">
      <items count="2">
        <item m="1" x="1"/>
        <item x="0"/>
      </items>
    </pivotField>
  </pivotFields>
  <rowFields count="1">
    <field x="7"/>
  </rowFields>
  <rowItems count="1">
    <i>
      <x v="1"/>
    </i>
  </rowItems>
  <colItems count="1">
    <i/>
  </colItems>
  <dataFields count="1">
    <dataField name="Somme de Progression jj/fin" fld="5" baseField="7" baseItem="0"/>
  </dataFields>
  <chartFormats count="1">
    <chartFormat chart="2"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valueNotEqual" evalOrder="-1" id="8"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eau croisé dynamique8" cacheId="5"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chartFormat="3">
  <location ref="A71:B73" firstHeaderRow="1" firstDataRow="1" firstDataCol="1"/>
  <pivotFields count="8">
    <pivotField numFmtId="9" showAll="0" defaultSubtotal="0"/>
    <pivotField numFmtId="9" showAll="0" defaultSubtotal="0"/>
    <pivotField numFmtId="9" showAll="0" defaultSubtotal="0"/>
    <pivotField numFmtId="9" showAll="0" defaultSubtotal="0"/>
    <pivotField numFmtId="9" showAll="0" defaultSubtotal="0"/>
    <pivotField numFmtId="166" multipleItemSelectionAllowed="1" showAll="0" defaultSubtotal="0"/>
    <pivotField axis="axisRow" dataField="1" multipleItemSelectionAllowed="1" showAll="0" defaultSubtotal="0">
      <items count="2">
        <item x="0"/>
        <item m="1" x="1"/>
      </items>
    </pivotField>
    <pivotField showAll="0" defaultSubtotal="0"/>
  </pivotFields>
  <rowFields count="1">
    <field x="6"/>
  </rowFields>
  <rowItems count="2">
    <i>
      <x/>
    </i>
    <i t="grand">
      <x/>
    </i>
  </rowItems>
  <colItems count="1">
    <i/>
  </colItems>
  <dataFields count="1">
    <dataField name="Nombre de Modules"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eau croisé dynamique7" cacheId="5"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chartFormat="3">
  <location ref="A47:B49" firstHeaderRow="1" firstDataRow="1" firstDataCol="1"/>
  <pivotFields count="8">
    <pivotField numFmtId="9" showAll="0" defaultSubtotal="0"/>
    <pivotField numFmtId="9" showAll="0" defaultSubtotal="0"/>
    <pivotField numFmtId="9" showAll="0" defaultSubtotal="0"/>
    <pivotField numFmtId="9" showAll="0" defaultSubtotal="0"/>
    <pivotField numFmtId="9" showAll="0" defaultSubtotal="0"/>
    <pivotField dataField="1" numFmtId="166" multipleItemSelectionAllowed="1" showAll="0" defaultSubtotal="0"/>
    <pivotField multipleItemSelectionAllowed="1" showAll="0" defaultSubtotal="0"/>
    <pivotField axis="axisRow" showAll="0" measureFilter="1" defaultSubtotal="0">
      <items count="2">
        <item x="0"/>
        <item m="1" x="1"/>
      </items>
    </pivotField>
  </pivotFields>
  <rowFields count="1">
    <field x="7"/>
  </rowFields>
  <rowItems count="2">
    <i>
      <x/>
    </i>
    <i t="grand">
      <x/>
    </i>
  </rowItems>
  <colItems count="1">
    <i/>
  </colItems>
  <dataFields count="1">
    <dataField name="Somme de Progression jj/fin" fld="5" baseField="0" baseItem="0"/>
  </dataFields>
  <pivotTableStyleInfo name="PivotStyleLight16" showRowHeaders="1" showColHeaders="1" showRowStripes="0" showColStripes="0" showLastColumn="1"/>
  <filters count="1">
    <filter fld="7" type="valueNotEqual" evalOrder="-1" id="2"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eau croisé dynamique5" cacheId="5"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chartFormat="3">
  <location ref="A19:B21" firstHeaderRow="1" firstDataRow="1" firstDataCol="1"/>
  <pivotFields count="8">
    <pivotField numFmtId="9" showAll="0" defaultSubtotal="0"/>
    <pivotField numFmtId="9" showAll="0" defaultSubtotal="0"/>
    <pivotField numFmtId="9" showAll="0" defaultSubtotal="0"/>
    <pivotField numFmtId="9" showAll="0" defaultSubtotal="0"/>
    <pivotField numFmtId="9" showAll="0" defaultSubtotal="0"/>
    <pivotField numFmtId="166" multipleItemSelectionAllowed="1" showAll="0" defaultSubtotal="0"/>
    <pivotField multipleItemSelectionAllowed="1" showAll="0" defaultSubtotal="0"/>
    <pivotField axis="axisRow" dataField="1" showAll="0" defaultSubtotal="0">
      <items count="2">
        <item x="0"/>
        <item m="1" x="1"/>
      </items>
    </pivotField>
  </pivotFields>
  <rowFields count="1">
    <field x="7"/>
  </rowFields>
  <rowItems count="2">
    <i>
      <x/>
    </i>
    <i t="grand">
      <x/>
    </i>
  </rowItems>
  <colItems count="1">
    <i/>
  </colItems>
  <dataFields count="1">
    <dataField name="Nombre de Intitulés de cours"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Modules" xr10:uid="{00000000-0013-0000-FFFF-FFFF01000000}" sourceName="Modules">
  <pivotTables>
    <pivotTable tabId="12" name="Tableau croisé dynamique3"/>
  </pivotTables>
  <data>
    <tabular pivotCacheId="1">
      <items count="2">
        <i x="0" s="1"/>
        <i x="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ules" xr10:uid="{00000000-0014-0000-FFFF-FFFF01000000}" cache="Segment_Modules" caption="Modules" showCaption="0"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Programme" displayName="Programme" ref="A1:G2" totalsRowShown="0" headerRowDxfId="19" dataDxfId="18">
  <autoFilter ref="A1:G2" xr:uid="{00000000-0009-0000-0100-000002000000}"/>
  <tableColumns count="7">
    <tableColumn id="1" xr3:uid="{00000000-0010-0000-0000-000001000000}" name="Modules" dataDxfId="17"/>
    <tableColumn id="7" xr3:uid="{00000000-0010-0000-0000-000007000000}" name="Intitulés de cours" dataDxfId="16"/>
    <tableColumn id="2" xr3:uid="{00000000-0010-0000-0000-000002000000}" name="j-j" dataDxfId="15"/>
    <tableColumn id="3" xr3:uid="{00000000-0010-0000-0000-000003000000}" name="j3" dataDxfId="14">
      <calculatedColumnFormula>C2+3</calculatedColumnFormula>
    </tableColumn>
    <tableColumn id="4" xr3:uid="{00000000-0010-0000-0000-000004000000}" name="j10" dataDxfId="13">
      <calculatedColumnFormula>C2+10</calculatedColumnFormula>
    </tableColumn>
    <tableColumn id="5" xr3:uid="{00000000-0010-0000-0000-000005000000}" name="j30" dataDxfId="12">
      <calculatedColumnFormula>C2+30</calculatedColumnFormula>
    </tableColumn>
    <tableColumn id="6" xr3:uid="{00000000-0010-0000-0000-000006000000}" name="j60" dataDxfId="11">
      <calculatedColumnFormula>C2+60</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Progression_long_terme" displayName="Progression_long_terme" ref="M1:T2" totalsRowShown="0" headerRowDxfId="10" dataDxfId="9" tableBorderDxfId="8">
  <autoFilter ref="M1:T2" xr:uid="{00000000-0009-0000-0100-000001000000}"/>
  <tableColumns count="8">
    <tableColumn id="1" xr3:uid="{00000000-0010-0000-0100-000001000000}" name="Progression jj/j1" dataDxfId="7">
      <calculatedColumnFormula>IF(H2="Lu",1,0)</calculatedColumnFormula>
    </tableColumn>
    <tableColumn id="2" xr3:uid="{00000000-0010-0000-0100-000002000000}" name="Progression jj/j3" dataDxfId="6">
      <calculatedColumnFormula>IF(I2="Lu",1,0)</calculatedColumnFormula>
    </tableColumn>
    <tableColumn id="3" xr3:uid="{00000000-0010-0000-0100-000003000000}" name="Progression jj/j10" dataDxfId="5">
      <calculatedColumnFormula>IF(J2="Lu",1,0)</calculatedColumnFormula>
    </tableColumn>
    <tableColumn id="4" xr3:uid="{00000000-0010-0000-0100-000004000000}" name="Progression jj/j30" dataDxfId="4">
      <calculatedColumnFormula>IF(K2="Lu",1,0)</calculatedColumnFormula>
    </tableColumn>
    <tableColumn id="5" xr3:uid="{00000000-0010-0000-0100-000005000000}" name="Progression jj/j60" dataDxfId="3">
      <calculatedColumnFormula>IF(L2="Lu",1,0)</calculatedColumnFormula>
    </tableColumn>
    <tableColumn id="6" xr3:uid="{00000000-0010-0000-0100-000006000000}" name="Progression jj/fin" dataDxfId="2">
      <calculatedColumnFormula>IF(AND(_xlfn.DAYS(TODAY(),Programme[[#This Row],[j-j]])=0,H2="Lu"),RANDBETWEEN(95,99),IF(AND(_xlfn.DAYS(TODAY(),Programme[[#This Row],[j-j]])&lt;3,H2="Lu"),RANDBETWEEN(55,75),IF(AND(_xlfn.DAYS(TODAY(),Programme[[#This Row],[j3]])=0,H2="Lu",I2="Lu"),RANDBETWEEN(95,99),IF(AND(_xlfn.DAYS(TODAY(),Programme[[#This Row],[j3]])&lt;3,H2="Lu",I2="Lu"),RANDBETWEEN(65,80),IF(AND(_xlfn.DAYS(TODAY(),Programme[[#This Row],[j3]])&lt;3,H2="Non Lu",I2="Lu"),RANDBETWEEN(45,65),IF(AND(_xlfn.DAYS(TODAY(),Programme[[#This Row],[j3]])&lt;10,H2="Lu",I2="Lu"),RANDBETWEEN(45,65),IF(AND(_xlfn.DAYS(TODAY(),Programme[[#This Row],[j10]])=0,J2="Lu",H2="Lu",I2="Lu"),RANDBETWEEN(95,99),IF(AND(_xlfn.DAYS(TODAY(),Programme[[#This Row],[j10]])&lt;20,J2="Lu",H2="Lu",I2="Lu"),RANDBETWEEN(65,75),IF(AND(_xlfn.DAYS(TODAY(),Programme[[#This Row],[j10]])&lt;5,J2="Lu",OR(H2="Lu",I2="Non Lu"),OR(I2="Lu",H2="Non Lu")),RANDBETWEEN(65,75),IF(AND(_xlfn.DAYS(TODAY(),Programme[[#This Row],[j30]])=0,K2="Lu",J2="Lu",I2="Lu",H2="Lu"),RANDBETWEEN(95,99),IF(AND(_xlfn.DAYS(TODAY(),Programme[[#This Row],[j30]])=0,K2="Lu",J2="Lu",I2="Lu",H2="Lu"),RANDBETWEEN(95,99),IF(AND(_xlfn.DAYS(TODAY(),Programme[[#This Row],[j30]])&lt;5,K2="Lu",OR(J2="Non Lu",I2="Lu",H2="Lu"),OR(J2="Lu",I2="Non Lu",H2="Lu"),OR(J2="Lu",H2="Non Lu",I2="Lu")),RANDBETWEEN(45,60),IF(AND(_xlfn.DAYS(TODAY(),Programme[[#This Row],[j30]])&lt;5,K2="Lu",J2="Non Lu",I2="Non Lu"),RANDBETWEEN(25,45),IF(AND(_xlfn.DAYS(TODAY(),Programme[[#This Row],[j60]])&gt;=0,L2="Lu",OR(K2="Non Lu",J2="Lu",I2="Lu"),OR(J2="Non Lu",K2="Lu",I2="Lu"),OR(I2="Non Lu",J2="Lu",K2="Lu")),RANDBETWEEN(45,55),IF(AND(_xlfn.DAYS(TODAY(),Programme[[#This Row],[j60]])&gt;=0,L2="Non Lu",K2="Lu",I2="Lu",J2="Lu",H2="Lu"),RANDBETWEEN(55,65),0)))))))))))))))</calculatedColumnFormula>
    </tableColumn>
    <tableColumn id="7" xr3:uid="{00000000-0010-0000-0100-000007000000}" name="Modules" dataDxfId="1">
      <calculatedColumnFormula>A2</calculatedColumnFormula>
    </tableColumn>
    <tableColumn id="8" xr3:uid="{00000000-0010-0000-0100-000008000000}" name="Intitulés de cours" dataDxfId="0">
      <calculatedColumnFormula>B2</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8.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7.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14.emf"/></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9.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18.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6"/>
  <dimension ref="B1:K10"/>
  <sheetViews>
    <sheetView tabSelected="1" workbookViewId="0">
      <selection activeCell="G8" sqref="G8"/>
    </sheetView>
  </sheetViews>
  <sheetFormatPr baseColWidth="10" defaultRowHeight="14.4" x14ac:dyDescent="0.3"/>
  <cols>
    <col min="1" max="1" width="12.33203125" style="9" customWidth="1"/>
    <col min="2" max="2" width="11.5546875" style="9" customWidth="1"/>
    <col min="3" max="3" width="5.88671875" style="9" customWidth="1"/>
    <col min="4" max="4" width="11.5546875" style="9"/>
    <col min="5" max="5" width="11.5546875" style="9" customWidth="1"/>
    <col min="6" max="6" width="10.33203125" style="9" customWidth="1"/>
    <col min="7" max="7" width="16" style="9" customWidth="1"/>
    <col min="8" max="10" width="11.5546875" style="9"/>
    <col min="11" max="11" width="12.77734375" style="9" customWidth="1"/>
    <col min="12" max="16384" width="11.5546875" style="9"/>
  </cols>
  <sheetData>
    <row r="1" spans="2:11" ht="15" thickBot="1" x14ac:dyDescent="0.35"/>
    <row r="2" spans="2:11" ht="13.8" customHeight="1" x14ac:dyDescent="0.3">
      <c r="B2" s="22"/>
      <c r="C2" s="27"/>
      <c r="D2" s="22"/>
      <c r="E2" s="23"/>
      <c r="F2" s="23"/>
      <c r="G2" s="23"/>
      <c r="H2" s="23"/>
      <c r="I2" s="23"/>
      <c r="J2" s="23"/>
      <c r="K2" s="27"/>
    </row>
    <row r="3" spans="2:11" ht="68.400000000000006" x14ac:dyDescent="1.7">
      <c r="B3" s="10"/>
      <c r="C3" s="11"/>
      <c r="D3" s="24" t="s">
        <v>14</v>
      </c>
      <c r="K3" s="11"/>
    </row>
    <row r="4" spans="2:11" ht="15.6" customHeight="1" thickBot="1" x14ac:dyDescent="0.35">
      <c r="B4" s="25"/>
      <c r="C4" s="28"/>
      <c r="D4" s="25"/>
      <c r="E4" s="26"/>
      <c r="F4" s="26"/>
      <c r="G4" s="26"/>
      <c r="H4" s="26"/>
      <c r="I4" s="26"/>
      <c r="J4" s="26"/>
      <c r="K4" s="28"/>
    </row>
    <row r="5" spans="2:11" ht="51.6" customHeight="1" x14ac:dyDescent="1.25">
      <c r="D5" s="15" t="s">
        <v>15</v>
      </c>
    </row>
    <row r="6" spans="2:11" ht="28.8" customHeight="1" x14ac:dyDescent="0.3">
      <c r="E6" s="17"/>
      <c r="F6" s="16"/>
      <c r="G6" s="20" t="s">
        <v>16</v>
      </c>
    </row>
    <row r="7" spans="2:11" ht="7.8" customHeight="1" x14ac:dyDescent="0.3"/>
    <row r="8" spans="2:11" ht="26.4" customHeight="1" x14ac:dyDescent="0.3">
      <c r="E8" s="18"/>
      <c r="F8" s="16"/>
      <c r="G8" s="13" t="s">
        <v>17</v>
      </c>
    </row>
    <row r="9" spans="2:11" ht="9" customHeight="1" x14ac:dyDescent="0.3"/>
    <row r="10" spans="2:11" s="12" customFormat="1" ht="28.8" customHeight="1" x14ac:dyDescent="0.3">
      <c r="E10" s="19"/>
      <c r="F10" s="16"/>
      <c r="G10" s="14" t="s">
        <v>29</v>
      </c>
    </row>
  </sheetData>
  <dataValidations count="1">
    <dataValidation type="textLength" operator="equal" allowBlank="1" showInputMessage="1" showErrorMessage="1" sqref="A1:L11" xr:uid="{00000000-0002-0000-0000-000000000000}">
      <formula1>0</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B1:J29"/>
  <sheetViews>
    <sheetView topLeftCell="A17" workbookViewId="0">
      <selection activeCell="J25" sqref="J25"/>
    </sheetView>
  </sheetViews>
  <sheetFormatPr baseColWidth="10" defaultRowHeight="14.4" x14ac:dyDescent="0.3"/>
  <cols>
    <col min="1" max="1" width="11.5546875" style="9" customWidth="1"/>
    <col min="2" max="2" width="12.77734375" style="9" customWidth="1"/>
    <col min="3" max="3" width="3.6640625" style="9" customWidth="1"/>
    <col min="4" max="4" width="12.88671875" style="9" customWidth="1"/>
    <col min="5" max="5" width="11.5546875" style="9"/>
    <col min="6" max="6" width="9.6640625" style="9" customWidth="1"/>
    <col min="7" max="7" width="8.6640625" style="9" bestFit="1" customWidth="1"/>
    <col min="8" max="8" width="21" style="9" customWidth="1"/>
    <col min="9" max="9" width="27" style="9" customWidth="1"/>
    <col min="10" max="10" width="16.21875" style="9" customWidth="1"/>
    <col min="11" max="11" width="6.5546875" style="9" customWidth="1"/>
    <col min="12" max="12" width="16.109375" style="9" customWidth="1"/>
    <col min="13" max="13" width="16.5546875" style="9" bestFit="1" customWidth="1"/>
    <col min="14" max="14" width="13.21875" style="9" customWidth="1"/>
    <col min="15" max="16384" width="11.5546875" style="9"/>
  </cols>
  <sheetData>
    <row r="1" spans="2:10" ht="15" thickBot="1" x14ac:dyDescent="0.35"/>
    <row r="2" spans="2:10" ht="13.8" customHeight="1" x14ac:dyDescent="0.3">
      <c r="B2" s="22"/>
      <c r="C2" s="27"/>
      <c r="D2" s="22"/>
      <c r="E2" s="29"/>
      <c r="F2" s="29"/>
      <c r="G2" s="29"/>
      <c r="H2" s="29"/>
      <c r="I2" s="29"/>
      <c r="J2" s="30"/>
    </row>
    <row r="3" spans="2:10" ht="68.400000000000006" x14ac:dyDescent="1.7">
      <c r="B3" s="10"/>
      <c r="C3" s="11"/>
      <c r="D3" s="24" t="s">
        <v>14</v>
      </c>
      <c r="J3" s="11"/>
    </row>
    <row r="4" spans="2:10" ht="15.6" customHeight="1" thickBot="1" x14ac:dyDescent="0.35">
      <c r="B4" s="25"/>
      <c r="C4" s="28"/>
      <c r="D4" s="25"/>
      <c r="E4" s="31"/>
      <c r="F4" s="31"/>
      <c r="G4" s="31"/>
      <c r="H4" s="31"/>
      <c r="I4" s="31"/>
      <c r="J4" s="32"/>
    </row>
    <row r="5" spans="2:10" ht="47.4" x14ac:dyDescent="0.95">
      <c r="F5" s="33" t="s">
        <v>18</v>
      </c>
    </row>
    <row r="6" spans="2:10" ht="16.2" customHeight="1" x14ac:dyDescent="0.45">
      <c r="G6" s="21"/>
    </row>
    <row r="7" spans="2:10" ht="30.6" x14ac:dyDescent="0.65">
      <c r="F7" s="34" t="s">
        <v>124</v>
      </c>
    </row>
    <row r="8" spans="2:10" ht="4.2" customHeight="1" x14ac:dyDescent="0.3"/>
    <row r="9" spans="2:10" ht="22.2" customHeight="1" x14ac:dyDescent="0.3">
      <c r="D9" s="39" t="s">
        <v>125</v>
      </c>
      <c r="E9" s="35" t="s">
        <v>19</v>
      </c>
      <c r="F9" s="40"/>
      <c r="G9" s="3"/>
      <c r="H9" s="3"/>
      <c r="I9" s="4"/>
    </row>
    <row r="10" spans="2:10" ht="7.8" customHeight="1" x14ac:dyDescent="0.3"/>
    <row r="11" spans="2:10" ht="20.399999999999999" customHeight="1" x14ac:dyDescent="0.3">
      <c r="D11" s="39" t="s">
        <v>126</v>
      </c>
      <c r="E11" s="35" t="s">
        <v>20</v>
      </c>
      <c r="F11" s="40"/>
      <c r="G11" s="3"/>
      <c r="H11" s="3"/>
      <c r="I11" s="4"/>
    </row>
    <row r="12" spans="2:10" ht="6.6" customHeight="1" x14ac:dyDescent="0.3"/>
    <row r="13" spans="2:10" ht="25.8" customHeight="1" x14ac:dyDescent="0.3">
      <c r="D13" s="39" t="s">
        <v>127</v>
      </c>
      <c r="E13" s="41" t="s">
        <v>130</v>
      </c>
      <c r="F13" s="40"/>
      <c r="G13" s="4"/>
    </row>
    <row r="14" spans="2:10" ht="5.4" customHeight="1" x14ac:dyDescent="0.3"/>
    <row r="15" spans="2:10" ht="18" customHeight="1" x14ac:dyDescent="0.3">
      <c r="D15" s="39" t="s">
        <v>128</v>
      </c>
      <c r="E15" s="36" t="s">
        <v>21</v>
      </c>
      <c r="F15" s="37" t="s">
        <v>22</v>
      </c>
      <c r="G15" s="4"/>
    </row>
    <row r="16" spans="2:10" ht="19.2" customHeight="1" x14ac:dyDescent="0.3">
      <c r="F16" s="38" t="s">
        <v>23</v>
      </c>
      <c r="G16" s="4"/>
    </row>
    <row r="17" spans="4:10" ht="6" customHeight="1" x14ac:dyDescent="0.3"/>
    <row r="18" spans="4:10" ht="28.2" customHeight="1" x14ac:dyDescent="0.3">
      <c r="D18" s="39" t="s">
        <v>129</v>
      </c>
      <c r="E18" s="42" t="s">
        <v>176</v>
      </c>
      <c r="F18" s="40"/>
      <c r="G18" s="3"/>
      <c r="H18" s="3"/>
      <c r="I18" s="4"/>
    </row>
    <row r="20" spans="4:10" ht="30.6" x14ac:dyDescent="0.65">
      <c r="G20" s="34" t="s">
        <v>24</v>
      </c>
    </row>
    <row r="22" spans="4:10" x14ac:dyDescent="0.3">
      <c r="G22" s="44" t="s">
        <v>131</v>
      </c>
      <c r="H22" s="45" t="s">
        <v>25</v>
      </c>
      <c r="I22" s="45" t="s">
        <v>26</v>
      </c>
    </row>
    <row r="23" spans="4:10" x14ac:dyDescent="0.3">
      <c r="G23" s="43"/>
      <c r="H23" s="43"/>
      <c r="I23" s="46"/>
      <c r="J23" s="47">
        <f ca="1">TODAY()</f>
        <v>44980</v>
      </c>
    </row>
    <row r="25" spans="4:10" ht="31.2" customHeight="1" x14ac:dyDescent="0.3">
      <c r="I25" s="48" t="s">
        <v>28</v>
      </c>
    </row>
    <row r="26" spans="4:10" ht="3.6" customHeight="1" x14ac:dyDescent="0.3"/>
    <row r="27" spans="4:10" ht="33" customHeight="1" x14ac:dyDescent="0.3">
      <c r="I27" s="49" t="s">
        <v>27</v>
      </c>
    </row>
    <row r="29" spans="4:10" ht="29.4" x14ac:dyDescent="0.3">
      <c r="J29" s="50" t="s">
        <v>29</v>
      </c>
    </row>
  </sheetData>
  <conditionalFormatting sqref="G23:I23">
    <cfRule type="expression" dxfId="39" priority="1">
      <formula>$G$23="Module 5"</formula>
    </cfRule>
    <cfRule type="expression" dxfId="38" priority="2">
      <formula>$G$23="Module 4"</formula>
    </cfRule>
    <cfRule type="expression" dxfId="37" priority="3">
      <formula>$G$23="Module 3"</formula>
    </cfRule>
    <cfRule type="expression" dxfId="36" priority="4">
      <formula>$G$23="Module 2"</formula>
    </cfRule>
    <cfRule type="expression" dxfId="35" priority="5">
      <formula>$G$23="Module 1"</formula>
    </cfRule>
  </conditionalFormatting>
  <dataValidations count="6">
    <dataValidation type="date" allowBlank="1" showInputMessage="1" showErrorMessage="1" promptTitle="Information" prompt="Choisissez la date à laquelle vous souhaitez commencer votre apprentissage espacé de cette discipline. La date doit etre comprise entre celle demain et 3 jours après maximum._x000a_" sqref="I23" xr:uid="{00000000-0002-0000-0100-000000000000}">
      <formula1>J23+1</formula1>
      <formula2>J23+3</formula2>
    </dataValidation>
    <dataValidation type="textLength" allowBlank="1" showInputMessage="1" showErrorMessage="1" sqref="F9" xr:uid="{00000000-0002-0000-0100-000001000000}">
      <formula1>1</formula1>
      <formula2>30</formula2>
    </dataValidation>
    <dataValidation type="textLength" allowBlank="1" showInputMessage="1" showErrorMessage="1" error="Veillez saisir un utilisateur minimum 2 mots et maximum 5 mots, il doit etre le plus facile que possible pour faciliter la connexion et il est à mémoriser." promptTitle="Information" prompt="Veillez saisir un utilisateur minimum 2 mots et maximum 5 mots, il doit etre le plus facile que possible pour faciliter la connexion et il est à mémoriser." sqref="F13" xr:uid="{00000000-0002-0000-0100-000002000000}">
      <formula1>2</formula1>
      <formula2>5</formula2>
    </dataValidation>
    <dataValidation type="list" allowBlank="1" showInputMessage="1" showErrorMessage="1" sqref="G23" xr:uid="{00000000-0002-0000-0100-000003000000}">
      <formula1>"Module 1,Module 2,Module 3,Module 4,Module 5"</formula1>
    </dataValidation>
    <dataValidation type="textLength" operator="equal" allowBlank="1" showInputMessage="1" showErrorMessage="1" sqref="A1:K7 G24:K31" xr:uid="{00000000-0002-0000-0100-000004000000}">
      <formula1>0</formula1>
    </dataValidation>
    <dataValidation type="list" allowBlank="1" showInputMessage="1" showErrorMessage="1" sqref="F18" xr:uid="{00000000-0002-0000-0100-000005000000}">
      <formula1>"Elève,Etudiant,Docteur,Professeur,Fonctionnaire,Autres"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5" r:id="rId4" name="OptionButton2">
          <controlPr defaultSize="0" autoLine="0" r:id="rId5">
            <anchor moveWithCells="1">
              <from>
                <xdr:col>6</xdr:col>
                <xdr:colOff>22860</xdr:colOff>
                <xdr:row>15</xdr:row>
                <xdr:rowOff>76200</xdr:rowOff>
              </from>
              <to>
                <xdr:col>6</xdr:col>
                <xdr:colOff>182880</xdr:colOff>
                <xdr:row>15</xdr:row>
                <xdr:rowOff>220980</xdr:rowOff>
              </to>
            </anchor>
          </controlPr>
        </control>
      </mc:Choice>
      <mc:Fallback>
        <control shapeId="5125" r:id="rId4" name="OptionButton2"/>
      </mc:Fallback>
    </mc:AlternateContent>
    <mc:AlternateContent xmlns:mc="http://schemas.openxmlformats.org/markup-compatibility/2006">
      <mc:Choice Requires="x14">
        <control shapeId="5124" r:id="rId6" name="OptionButton1">
          <controlPr defaultSize="0" autoLine="0" r:id="rId7">
            <anchor moveWithCells="1">
              <from>
                <xdr:col>6</xdr:col>
                <xdr:colOff>15240</xdr:colOff>
                <xdr:row>14</xdr:row>
                <xdr:rowOff>68580</xdr:rowOff>
              </from>
              <to>
                <xdr:col>6</xdr:col>
                <xdr:colOff>182880</xdr:colOff>
                <xdr:row>14</xdr:row>
                <xdr:rowOff>205740</xdr:rowOff>
              </to>
            </anchor>
          </controlPr>
        </control>
      </mc:Choice>
      <mc:Fallback>
        <control shapeId="5124" r:id="rId6" name="Option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CQ11"/>
  <sheetViews>
    <sheetView workbookViewId="0">
      <selection activeCell="A5" sqref="A5"/>
    </sheetView>
  </sheetViews>
  <sheetFormatPr baseColWidth="10" defaultRowHeight="14.4" x14ac:dyDescent="0.3"/>
  <cols>
    <col min="1" max="16384" width="11.5546875" style="5"/>
  </cols>
  <sheetData>
    <row r="1" spans="1:95" x14ac:dyDescent="0.3">
      <c r="A1" s="6" t="s">
        <v>30</v>
      </c>
      <c r="B1" s="8" t="s">
        <v>123</v>
      </c>
      <c r="C1" s="6" t="s">
        <v>31</v>
      </c>
      <c r="D1" s="6" t="s">
        <v>32</v>
      </c>
      <c r="E1" s="6" t="s">
        <v>176</v>
      </c>
      <c r="F1" s="6" t="s">
        <v>93</v>
      </c>
      <c r="G1" s="6" t="s">
        <v>33</v>
      </c>
      <c r="H1" s="6" t="s">
        <v>34</v>
      </c>
      <c r="I1" s="6" t="s">
        <v>94</v>
      </c>
      <c r="J1" s="6" t="s">
        <v>35</v>
      </c>
      <c r="K1" s="6" t="s">
        <v>36</v>
      </c>
      <c r="L1" s="6" t="s">
        <v>95</v>
      </c>
      <c r="M1" s="6" t="s">
        <v>37</v>
      </c>
      <c r="N1" s="6" t="s">
        <v>38</v>
      </c>
      <c r="O1" s="6" t="s">
        <v>96</v>
      </c>
      <c r="P1" s="6" t="s">
        <v>39</v>
      </c>
      <c r="Q1" s="6" t="s">
        <v>40</v>
      </c>
      <c r="R1" s="6" t="s">
        <v>97</v>
      </c>
      <c r="S1" s="6" t="s">
        <v>41</v>
      </c>
      <c r="T1" s="6" t="s">
        <v>42</v>
      </c>
      <c r="U1" s="6" t="s">
        <v>98</v>
      </c>
      <c r="V1" s="6" t="s">
        <v>43</v>
      </c>
      <c r="W1" s="6" t="s">
        <v>44</v>
      </c>
      <c r="X1" s="6" t="s">
        <v>99</v>
      </c>
      <c r="Y1" s="6" t="s">
        <v>45</v>
      </c>
      <c r="Z1" s="6" t="s">
        <v>46</v>
      </c>
      <c r="AA1" s="6" t="s">
        <v>100</v>
      </c>
      <c r="AB1" s="6" t="s">
        <v>47</v>
      </c>
      <c r="AC1" s="6" t="s">
        <v>48</v>
      </c>
      <c r="AD1" s="6" t="s">
        <v>101</v>
      </c>
      <c r="AE1" s="6" t="s">
        <v>49</v>
      </c>
      <c r="AF1" s="6" t="s">
        <v>50</v>
      </c>
      <c r="AG1" s="6" t="s">
        <v>102</v>
      </c>
      <c r="AH1" s="6" t="s">
        <v>51</v>
      </c>
      <c r="AI1" s="6" t="s">
        <v>52</v>
      </c>
      <c r="AJ1" s="6" t="s">
        <v>103</v>
      </c>
      <c r="AK1" s="6" t="s">
        <v>53</v>
      </c>
      <c r="AL1" s="6" t="s">
        <v>54</v>
      </c>
      <c r="AM1" s="6" t="s">
        <v>104</v>
      </c>
      <c r="AN1" s="6" t="s">
        <v>55</v>
      </c>
      <c r="AO1" s="6" t="s">
        <v>56</v>
      </c>
      <c r="AP1" s="6" t="s">
        <v>105</v>
      </c>
      <c r="AQ1" s="6" t="s">
        <v>57</v>
      </c>
      <c r="AR1" s="6" t="s">
        <v>58</v>
      </c>
      <c r="AS1" s="6" t="s">
        <v>106</v>
      </c>
      <c r="AT1" s="6" t="s">
        <v>59</v>
      </c>
      <c r="AU1" s="6" t="s">
        <v>60</v>
      </c>
      <c r="AV1" s="6" t="s">
        <v>107</v>
      </c>
      <c r="AW1" s="6" t="s">
        <v>61</v>
      </c>
      <c r="AX1" s="6" t="s">
        <v>62</v>
      </c>
      <c r="AY1" s="6" t="s">
        <v>108</v>
      </c>
      <c r="AZ1" s="6" t="s">
        <v>63</v>
      </c>
      <c r="BA1" s="6" t="s">
        <v>64</v>
      </c>
      <c r="BB1" s="6" t="s">
        <v>109</v>
      </c>
      <c r="BC1" s="6" t="s">
        <v>65</v>
      </c>
      <c r="BD1" s="6" t="s">
        <v>66</v>
      </c>
      <c r="BE1" s="6" t="s">
        <v>110</v>
      </c>
      <c r="BF1" s="6" t="s">
        <v>67</v>
      </c>
      <c r="BG1" s="6" t="s">
        <v>68</v>
      </c>
      <c r="BH1" s="6" t="s">
        <v>111</v>
      </c>
      <c r="BI1" s="6" t="s">
        <v>69</v>
      </c>
      <c r="BJ1" s="6" t="s">
        <v>70</v>
      </c>
      <c r="BK1" s="6" t="s">
        <v>112</v>
      </c>
      <c r="BL1" s="6" t="s">
        <v>71</v>
      </c>
      <c r="BM1" s="6" t="s">
        <v>72</v>
      </c>
      <c r="BN1" s="6" t="s">
        <v>113</v>
      </c>
      <c r="BO1" s="6" t="s">
        <v>73</v>
      </c>
      <c r="BP1" s="6" t="s">
        <v>74</v>
      </c>
      <c r="BQ1" s="6" t="s">
        <v>114</v>
      </c>
      <c r="BR1" s="6" t="s">
        <v>75</v>
      </c>
      <c r="BS1" s="6" t="s">
        <v>76</v>
      </c>
      <c r="BT1" s="6" t="s">
        <v>115</v>
      </c>
      <c r="BU1" s="6" t="s">
        <v>77</v>
      </c>
      <c r="BV1" s="6" t="s">
        <v>78</v>
      </c>
      <c r="BW1" s="6" t="s">
        <v>116</v>
      </c>
      <c r="BX1" s="6" t="s">
        <v>79</v>
      </c>
      <c r="BY1" s="6" t="s">
        <v>80</v>
      </c>
      <c r="BZ1" s="6" t="s">
        <v>117</v>
      </c>
      <c r="CA1" s="6" t="s">
        <v>81</v>
      </c>
      <c r="CB1" s="6" t="s">
        <v>82</v>
      </c>
      <c r="CC1" s="6" t="s">
        <v>118</v>
      </c>
      <c r="CD1" s="6" t="s">
        <v>83</v>
      </c>
      <c r="CE1" s="6" t="s">
        <v>84</v>
      </c>
      <c r="CF1" s="6" t="s">
        <v>119</v>
      </c>
      <c r="CG1" s="6" t="s">
        <v>85</v>
      </c>
      <c r="CH1" s="6" t="s">
        <v>86</v>
      </c>
      <c r="CI1" s="6" t="s">
        <v>120</v>
      </c>
      <c r="CJ1" s="6" t="s">
        <v>87</v>
      </c>
      <c r="CK1" s="6" t="s">
        <v>88</v>
      </c>
      <c r="CL1" s="6" t="s">
        <v>121</v>
      </c>
      <c r="CM1" s="6" t="s">
        <v>89</v>
      </c>
      <c r="CN1" s="6" t="s">
        <v>90</v>
      </c>
      <c r="CO1" s="6" t="s">
        <v>122</v>
      </c>
      <c r="CP1" s="6" t="s">
        <v>91</v>
      </c>
      <c r="CQ1" s="6" t="s">
        <v>92</v>
      </c>
    </row>
    <row r="2" spans="1:95" x14ac:dyDescent="0.3">
      <c r="D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row>
    <row r="3" spans="1:95" x14ac:dyDescent="0.3">
      <c r="H3" s="7"/>
      <c r="K3" s="7"/>
      <c r="N3" s="7"/>
    </row>
    <row r="4" spans="1:95" x14ac:dyDescent="0.3">
      <c r="D4" s="7"/>
      <c r="H4" s="7"/>
      <c r="K4" s="7"/>
    </row>
    <row r="5" spans="1:95" x14ac:dyDescent="0.3">
      <c r="G5" s="7"/>
      <c r="H5" s="7"/>
    </row>
    <row r="6" spans="1:95" x14ac:dyDescent="0.3">
      <c r="H6" s="7"/>
      <c r="K6" s="7"/>
      <c r="N6" s="7"/>
      <c r="Q6" s="7"/>
      <c r="T6" s="7"/>
      <c r="W6" s="7"/>
    </row>
    <row r="7" spans="1:95" x14ac:dyDescent="0.3">
      <c r="H7" s="7"/>
    </row>
    <row r="8" spans="1:95" x14ac:dyDescent="0.3">
      <c r="H8" s="7"/>
    </row>
    <row r="9" spans="1:95" x14ac:dyDescent="0.3">
      <c r="H9" s="7"/>
      <c r="K9" s="7"/>
    </row>
    <row r="10" spans="1:95" x14ac:dyDescent="0.3">
      <c r="H10" s="7"/>
      <c r="K10" s="7"/>
    </row>
    <row r="11" spans="1:95" x14ac:dyDescent="0.3">
      <c r="H11"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0"/>
  <dimension ref="A1:F73"/>
  <sheetViews>
    <sheetView topLeftCell="E1" workbookViewId="0">
      <selection activeCell="E6" sqref="E6"/>
    </sheetView>
  </sheetViews>
  <sheetFormatPr baseColWidth="10" defaultRowHeight="14.4" x14ac:dyDescent="0.3"/>
  <cols>
    <col min="1" max="1" width="19.5546875" customWidth="1"/>
    <col min="2" max="2" width="25.109375" customWidth="1"/>
    <col min="3" max="3" width="11.88671875" customWidth="1"/>
    <col min="4" max="4" width="19.5546875" bestFit="1" customWidth="1"/>
    <col min="5" max="5" width="249.21875" bestFit="1" customWidth="1"/>
    <col min="6" max="6" width="11" bestFit="1" customWidth="1"/>
    <col min="7" max="7" width="11.6640625" bestFit="1" customWidth="1"/>
    <col min="8" max="10" width="4.44140625" customWidth="1"/>
    <col min="11" max="11" width="11.88671875" bestFit="1" customWidth="1"/>
  </cols>
  <sheetData>
    <row r="1" spans="1:5" x14ac:dyDescent="0.3">
      <c r="E1" t="s">
        <v>173</v>
      </c>
    </row>
    <row r="2" spans="1:5" x14ac:dyDescent="0.3">
      <c r="E2" t="s">
        <v>174</v>
      </c>
    </row>
    <row r="3" spans="1:5" ht="144" x14ac:dyDescent="0.3">
      <c r="E3" s="112" t="s">
        <v>178</v>
      </c>
    </row>
    <row r="4" spans="1:5" x14ac:dyDescent="0.3">
      <c r="A4" s="113" t="s">
        <v>161</v>
      </c>
      <c r="B4" t="s">
        <v>163</v>
      </c>
    </row>
    <row r="5" spans="1:5" x14ac:dyDescent="0.3">
      <c r="A5" s="114" t="s">
        <v>175</v>
      </c>
      <c r="B5">
        <v>49</v>
      </c>
    </row>
    <row r="19" spans="1:6" x14ac:dyDescent="0.3">
      <c r="A19" s="113" t="s">
        <v>161</v>
      </c>
      <c r="B19" t="s">
        <v>165</v>
      </c>
      <c r="C19" t="s">
        <v>166</v>
      </c>
      <c r="D19" t="s">
        <v>167</v>
      </c>
      <c r="E19" t="s">
        <v>168</v>
      </c>
      <c r="F19" t="s">
        <v>169</v>
      </c>
    </row>
    <row r="20" spans="1:6" x14ac:dyDescent="0.3">
      <c r="A20" s="114" t="s">
        <v>175</v>
      </c>
      <c r="B20">
        <v>1</v>
      </c>
      <c r="C20">
        <f>GETPIVOTDATA("Intitulés de cours",$A$19)</f>
        <v>1</v>
      </c>
      <c r="D20">
        <f>COUNTA(Programme_de_cours!L:L)-1</f>
        <v>1</v>
      </c>
      <c r="E20">
        <f>COUNTA(A47:A51)-2</f>
        <v>1</v>
      </c>
      <c r="F20">
        <f>COUNTA(A71:A76)-2</f>
        <v>1</v>
      </c>
    </row>
    <row r="21" spans="1:6" x14ac:dyDescent="0.3">
      <c r="A21" s="114" t="s">
        <v>162</v>
      </c>
      <c r="B21">
        <v>1</v>
      </c>
    </row>
    <row r="47" spans="1:2" x14ac:dyDescent="0.3">
      <c r="A47" s="113" t="s">
        <v>161</v>
      </c>
      <c r="B47" t="s">
        <v>163</v>
      </c>
    </row>
    <row r="48" spans="1:2" x14ac:dyDescent="0.3">
      <c r="A48" s="114" t="s">
        <v>175</v>
      </c>
      <c r="B48">
        <v>49</v>
      </c>
    </row>
    <row r="49" spans="1:2" x14ac:dyDescent="0.3">
      <c r="A49" s="114" t="s">
        <v>162</v>
      </c>
      <c r="B49">
        <v>49</v>
      </c>
    </row>
    <row r="71" spans="1:2" x14ac:dyDescent="0.3">
      <c r="A71" s="113" t="s">
        <v>161</v>
      </c>
      <c r="B71" t="s">
        <v>164</v>
      </c>
    </row>
    <row r="72" spans="1:2" x14ac:dyDescent="0.3">
      <c r="A72" s="114" t="s">
        <v>172</v>
      </c>
      <c r="B72">
        <v>1</v>
      </c>
    </row>
    <row r="73" spans="1:2" x14ac:dyDescent="0.3">
      <c r="A73" s="114" t="s">
        <v>162</v>
      </c>
      <c r="B73">
        <v>1</v>
      </c>
    </row>
  </sheetData>
  <dataValidations count="1">
    <dataValidation type="textLength" operator="equal" allowBlank="1" showInputMessage="1" showErrorMessage="1" sqref="C20:F20" xr:uid="{00000000-0002-0000-0300-000000000000}">
      <formula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C25"/>
  <sheetViews>
    <sheetView workbookViewId="0">
      <selection activeCell="G7" sqref="G7"/>
    </sheetView>
  </sheetViews>
  <sheetFormatPr baseColWidth="10" defaultRowHeight="14.4" x14ac:dyDescent="0.3"/>
  <cols>
    <col min="1" max="2" width="23.44140625" style="85" bestFit="1" customWidth="1"/>
    <col min="3" max="7" width="11.5546875" style="85"/>
    <col min="8" max="8" width="11.6640625" style="85" bestFit="1" customWidth="1"/>
    <col min="9" max="9" width="11.5546875" style="85"/>
    <col min="10" max="11" width="12.44140625" style="85" bestFit="1" customWidth="1"/>
    <col min="12" max="12" width="10.5546875" style="85" bestFit="1" customWidth="1"/>
    <col min="13" max="14" width="16.6640625" style="85" customWidth="1"/>
    <col min="15" max="17" width="17.6640625" style="85" customWidth="1"/>
    <col min="18" max="18" width="17.33203125" style="85" customWidth="1"/>
    <col min="19" max="19" width="9.21875" style="85" bestFit="1" customWidth="1"/>
    <col min="20" max="16384" width="11.5546875" style="85"/>
  </cols>
  <sheetData>
    <row r="1" spans="1:29" x14ac:dyDescent="0.3">
      <c r="A1" s="94" t="s">
        <v>132</v>
      </c>
      <c r="B1" s="94" t="s">
        <v>0</v>
      </c>
      <c r="C1" s="110" t="s">
        <v>170</v>
      </c>
      <c r="D1" s="92" t="s">
        <v>1</v>
      </c>
      <c r="E1" s="92" t="s">
        <v>2</v>
      </c>
      <c r="F1" s="92" t="s">
        <v>3</v>
      </c>
      <c r="G1" s="92" t="s">
        <v>4</v>
      </c>
      <c r="H1" s="93" t="s">
        <v>149</v>
      </c>
      <c r="I1" s="93" t="s">
        <v>150</v>
      </c>
      <c r="J1" s="93" t="s">
        <v>151</v>
      </c>
      <c r="K1" s="93" t="s">
        <v>152</v>
      </c>
      <c r="L1" s="93" t="s">
        <v>153</v>
      </c>
      <c r="M1" s="94" t="s">
        <v>155</v>
      </c>
      <c r="N1" s="97" t="s">
        <v>156</v>
      </c>
      <c r="O1" s="97" t="s">
        <v>157</v>
      </c>
      <c r="P1" s="97" t="s">
        <v>158</v>
      </c>
      <c r="Q1" s="97" t="s">
        <v>159</v>
      </c>
      <c r="R1" s="95" t="s">
        <v>160</v>
      </c>
      <c r="S1" s="94" t="s">
        <v>132</v>
      </c>
      <c r="T1" s="94" t="s">
        <v>0</v>
      </c>
      <c r="AC1" s="85" t="e">
        <f ca="1">IF(AND(_xlfn.DAYS(TODAY(),Programme[[#This Row],[j-j]])=0,H2="Lu"),RANDBETWEEN(95,99),IF(AND(_xlfn.DAYS(TODAY(),Programme[[#This Row],[j-j]])&lt;3,H2="Lu"),RANDBETWEEN(55,75),IF(AND(_xlfn.DAYS(TODAY(),Programme[[#This Row],[j3]])=0,H2="Lu",I2="Lu"),RANDBETWEEN(95,99),IF(AND(_xlfn.DAYS(TODAY(),Programme[[#This Row],[j3]])&lt;3,H2="Lu",I2="Lu"),RANDBETWEEN(65,80),IF(AND(_xlfn.DAYS(TODAY(),Programme[[#This Row],[j3]])&lt;3,H2="Non Lu",I2="Lu"),RANDBETWEEN(45,65),IF(AND(_xlfn.DAYS(TODAY(),Programme[[#This Row],[j3]])&lt;10,H2="Lu",I2="Lu"),RANDBETWEEN(45,65),IF(AND(_xlfn.DAYS(TODAY(),Programme[[#This Row],[j10]])=0,J2="Lu",H2="Lu",I2="Lu"),RANDBETWEEN(95,99),IF(AND(_xlfn.DAYS(TODAY(),Programme[[#This Row],[j10]])&lt;20,J2="Lu",H2="Lu",I2="Lu"),RANDBETWEEN(65,75),IF(AND(_xlfn.DAYS(TODAY(),Programme[[#This Row],[j10]])&lt;5,J2="Lu",OR(H2="Lu",I2="Non Lu"),OR(I2="Lu",H2="Non Lu")),RANDBETWEEN(65,75),IF(AND(_xlfn.DAYS(TODAY(),Programme[[#This Row],[j30]])=0,K2="Lu",J2="Lu",I2="Lu",H2="Lu"),RANDBETWEEN(95,99),IF(AND(_xlfn.DAYS(TODAY(),Programme[[#This Row],[j30]])=0,K2="Lu",J2="Lu",I2="Lu",H2="Lu"),RANDBETWEEN(95,99),IF(AND(_xlfn.DAYS(TODAY(),Programme[[#This Row],[j30]])&lt;5,K2="Lu",OR(J2="Non Lu",I2="Lu",H2="Lu"),OR(J2="Lu",I2="Non Lu",H2="Lu"),OR(J2="Lu",H2="Non Lu",I2="Lu")),RANDBETWEEN(45,60),IF(AND(_xlfn.DAYS(TODAY(),Programme[[#This Row],[j30]])&lt;5,K2="Lu",J2="Non Lu",I2="Non Lu"),RANDBETWEEN(25,45),IF(AND(_xlfn.DAYS(TODAY(),Programme[[#This Row],[j60]])&gt;=0,L2="Lu",OR(K2="Non Lu",J2="Lu",I2="Lu"),OR(J2="Non Lu",K2="Lu",I2="Lu"),OR(I2="Non Lu",J2="Lu",K2="Lu")),RANDBETWEEN(45,55),IF(AND(_xlfn.DAYS(TODAY(),Programme[[#This Row],[j60]])&gt;=0,L2="Non Lu",K2="Lu",I2="Lu",J2="Lu",H2="Lu"),RANDBETWEEN(55,65),0)))))))))))))))</f>
        <v>#VALUE!</v>
      </c>
    </row>
    <row r="2" spans="1:29" x14ac:dyDescent="0.3">
      <c r="A2" s="85" t="s">
        <v>172</v>
      </c>
      <c r="B2" s="85" t="s">
        <v>175</v>
      </c>
      <c r="C2" s="86">
        <v>44725</v>
      </c>
      <c r="D2" s="86">
        <f t="shared" ref="D2" si="0">C2+3</f>
        <v>44728</v>
      </c>
      <c r="E2" s="86">
        <f t="shared" ref="E2" si="1">C2+10</f>
        <v>44735</v>
      </c>
      <c r="F2" s="86">
        <f t="shared" ref="F2" si="2">C2+30</f>
        <v>44755</v>
      </c>
      <c r="G2" s="86">
        <f t="shared" ref="G2" si="3">C2+60</f>
        <v>44785</v>
      </c>
      <c r="H2" s="86" t="s">
        <v>141</v>
      </c>
      <c r="I2" s="86" t="s">
        <v>141</v>
      </c>
      <c r="J2" s="86" t="s">
        <v>141</v>
      </c>
      <c r="K2" s="86" t="s">
        <v>141</v>
      </c>
      <c r="L2" s="86" t="s">
        <v>141</v>
      </c>
      <c r="M2" s="87">
        <f>IF(H2="Lu",1,0)</f>
        <v>1</v>
      </c>
      <c r="N2" s="87">
        <f>IF(I2="Lu",1,0)</f>
        <v>1</v>
      </c>
      <c r="O2" s="87">
        <f t="shared" ref="O2:Q2" si="4">IF(J2="Lu",1,0)</f>
        <v>1</v>
      </c>
      <c r="P2" s="87">
        <f t="shared" si="4"/>
        <v>1</v>
      </c>
      <c r="Q2" s="87">
        <f t="shared" si="4"/>
        <v>1</v>
      </c>
      <c r="R2" s="88">
        <f ca="1">IF(AND(_xlfn.DAYS(TODAY(),Programme[[#This Row],[j-j]])=0,H2="Lu"),RANDBETWEEN(95,99),IF(AND(_xlfn.DAYS(TODAY(),Programme[[#This Row],[j-j]])&lt;3,H2="Lu"),RANDBETWEEN(55,75),IF(AND(_xlfn.DAYS(TODAY(),Programme[[#This Row],[j3]])=0,H2="Lu",I2="Lu"),RANDBETWEEN(95,99),IF(AND(_xlfn.DAYS(TODAY(),Programme[[#This Row],[j3]])&lt;3,H2="Lu",I2="Lu"),RANDBETWEEN(65,80),IF(AND(_xlfn.DAYS(TODAY(),Programme[[#This Row],[j3]])&lt;3,H2="Non Lu",I2="Lu"),RANDBETWEEN(45,65),IF(AND(_xlfn.DAYS(TODAY(),Programme[[#This Row],[j3]])&lt;10,H2="Lu",I2="Lu"),RANDBETWEEN(45,65),IF(AND(_xlfn.DAYS(TODAY(),Programme[[#This Row],[j10]])=0,J2="Lu",H2="Lu",I2="Lu"),RANDBETWEEN(95,99),IF(AND(_xlfn.DAYS(TODAY(),Programme[[#This Row],[j10]])&lt;20,J2="Lu",H2="Lu",I2="Lu"),RANDBETWEEN(65,75),IF(AND(_xlfn.DAYS(TODAY(),Programme[[#This Row],[j10]])&lt;5,J2="Lu",OR(H2="Lu",I2="Non Lu"),OR(I2="Lu",H2="Non Lu")),RANDBETWEEN(65,75),IF(AND(_xlfn.DAYS(TODAY(),Programme[[#This Row],[j30]])=0,K2="Lu",J2="Lu",I2="Lu",H2="Lu"),RANDBETWEEN(95,99),IF(AND(_xlfn.DAYS(TODAY(),Programme[[#This Row],[j30]])=0,K2="Lu",J2="Lu",I2="Lu",H2="Lu"),RANDBETWEEN(95,99),IF(AND(_xlfn.DAYS(TODAY(),Programme[[#This Row],[j30]])&lt;5,K2="Lu",OR(J2="Non Lu",I2="Lu",H2="Lu"),OR(J2="Lu",I2="Non Lu",H2="Lu"),OR(J2="Lu",H2="Non Lu",I2="Lu")),RANDBETWEEN(45,60),IF(AND(_xlfn.DAYS(TODAY(),Programme[[#This Row],[j30]])&lt;5,K2="Lu",J2="Non Lu",I2="Non Lu"),RANDBETWEEN(25,45),IF(AND(_xlfn.DAYS(TODAY(),Programme[[#This Row],[j60]])&gt;=0,L2="Lu",OR(K2="Non Lu",J2="Lu",I2="Lu"),OR(J2="Non Lu",K2="Lu",I2="Lu"),OR(I2="Non Lu",J2="Lu",K2="Lu")),RANDBETWEEN(45,55),IF(AND(_xlfn.DAYS(TODAY(),Programme[[#This Row],[j60]])&gt;=0,L2="Non Lu",K2="Lu",I2="Lu",J2="Lu",H2="Lu"),RANDBETWEEN(55,65),0)))))))))))))))</f>
        <v>46</v>
      </c>
      <c r="S2" s="96" t="str">
        <f t="shared" ref="S2:T2" si="5">A2</f>
        <v>Module 2</v>
      </c>
      <c r="T2" s="96" t="str">
        <f t="shared" si="5"/>
        <v>mab</v>
      </c>
    </row>
    <row r="3" spans="1:29" x14ac:dyDescent="0.3">
      <c r="A3" s="90"/>
      <c r="C3" s="86"/>
      <c r="D3" s="86"/>
      <c r="E3" s="86"/>
      <c r="F3" s="86"/>
      <c r="G3" s="89"/>
      <c r="H3" s="86"/>
      <c r="I3" s="86"/>
      <c r="J3" s="86"/>
      <c r="K3" s="86"/>
      <c r="L3" s="86"/>
      <c r="M3" s="96"/>
      <c r="N3" s="96"/>
      <c r="O3" s="96"/>
      <c r="P3" s="96"/>
      <c r="Q3" s="96"/>
      <c r="R3" s="88"/>
      <c r="S3" s="96"/>
      <c r="T3" s="96"/>
    </row>
    <row r="4" spans="1:29" x14ac:dyDescent="0.3">
      <c r="A4" s="90"/>
      <c r="C4" s="86"/>
      <c r="D4" s="86"/>
      <c r="E4" s="86"/>
      <c r="F4" s="86"/>
      <c r="G4" s="89"/>
      <c r="H4" s="86"/>
      <c r="I4" s="86"/>
      <c r="J4" s="86"/>
      <c r="K4" s="86"/>
      <c r="L4" s="86"/>
      <c r="M4" s="96"/>
      <c r="N4" s="96"/>
      <c r="O4" s="96"/>
      <c r="P4" s="96"/>
      <c r="Q4" s="96"/>
      <c r="R4" s="88"/>
      <c r="S4" s="96"/>
      <c r="T4" s="96"/>
    </row>
    <row r="5" spans="1:29" x14ac:dyDescent="0.3">
      <c r="A5" s="90"/>
      <c r="C5" s="86"/>
      <c r="D5" s="86"/>
      <c r="E5" s="86"/>
      <c r="F5" s="86"/>
      <c r="G5" s="89"/>
      <c r="H5" s="86"/>
      <c r="I5" s="86"/>
      <c r="J5" s="86"/>
      <c r="K5" s="86"/>
      <c r="L5" s="86"/>
      <c r="M5" s="96"/>
      <c r="N5" s="96"/>
      <c r="O5" s="96"/>
      <c r="P5" s="96"/>
      <c r="Q5" s="96"/>
      <c r="R5" s="88"/>
      <c r="S5" s="96"/>
      <c r="T5" s="96"/>
      <c r="V5" s="91"/>
    </row>
    <row r="6" spans="1:29" x14ac:dyDescent="0.3">
      <c r="A6" s="90"/>
      <c r="C6" s="86"/>
      <c r="D6" s="86"/>
      <c r="E6" s="86"/>
      <c r="F6" s="86"/>
      <c r="G6" s="89"/>
      <c r="H6" s="86"/>
      <c r="I6" s="86"/>
      <c r="J6" s="86"/>
      <c r="K6" s="86"/>
      <c r="L6" s="86"/>
      <c r="M6" s="96"/>
      <c r="N6" s="96"/>
      <c r="O6" s="96"/>
      <c r="P6" s="96"/>
      <c r="Q6" s="96"/>
      <c r="R6" s="88"/>
      <c r="S6" s="96"/>
      <c r="T6" s="96"/>
    </row>
    <row r="7" spans="1:29" x14ac:dyDescent="0.3">
      <c r="A7" s="90"/>
      <c r="C7" s="86"/>
      <c r="D7" s="86"/>
      <c r="E7" s="86"/>
      <c r="F7" s="86"/>
      <c r="G7" s="89"/>
      <c r="H7" s="86"/>
      <c r="I7" s="86"/>
      <c r="J7" s="86"/>
      <c r="K7" s="86"/>
      <c r="L7" s="86"/>
      <c r="M7" s="96"/>
      <c r="N7" s="96"/>
      <c r="O7" s="96"/>
      <c r="P7" s="96"/>
      <c r="Q7" s="96"/>
      <c r="R7" s="88"/>
      <c r="S7" s="96"/>
      <c r="T7" s="96"/>
    </row>
    <row r="8" spans="1:29" x14ac:dyDescent="0.3">
      <c r="A8" s="90"/>
      <c r="C8" s="86"/>
      <c r="D8" s="86"/>
      <c r="E8" s="86"/>
      <c r="F8" s="86"/>
      <c r="G8" s="89"/>
      <c r="M8" s="96"/>
      <c r="N8" s="96"/>
      <c r="O8" s="96"/>
      <c r="P8" s="96"/>
      <c r="Q8" s="96"/>
      <c r="R8" s="88"/>
      <c r="S8" s="96"/>
      <c r="T8" s="96"/>
    </row>
    <row r="9" spans="1:29" x14ac:dyDescent="0.3">
      <c r="A9" s="90"/>
      <c r="C9" s="86"/>
      <c r="D9" s="86"/>
      <c r="E9" s="86"/>
      <c r="F9" s="86"/>
      <c r="G9" s="89"/>
      <c r="M9" s="96"/>
      <c r="N9" s="96"/>
      <c r="O9" s="96"/>
      <c r="P9" s="96"/>
      <c r="Q9" s="96"/>
      <c r="R9" s="88"/>
      <c r="S9" s="96"/>
      <c r="T9" s="96"/>
    </row>
    <row r="10" spans="1:29" x14ac:dyDescent="0.3">
      <c r="A10" s="111"/>
      <c r="B10" s="86"/>
      <c r="C10" s="86"/>
      <c r="D10" s="86"/>
      <c r="E10" s="86"/>
      <c r="F10" s="86"/>
      <c r="G10" s="89"/>
      <c r="M10" s="96"/>
      <c r="N10" s="96"/>
      <c r="O10" s="96"/>
      <c r="P10" s="96"/>
      <c r="Q10" s="96"/>
      <c r="R10" s="88"/>
      <c r="S10" s="96"/>
      <c r="T10" s="96"/>
    </row>
    <row r="11" spans="1:29" x14ac:dyDescent="0.3">
      <c r="A11" s="111"/>
      <c r="B11" s="86"/>
      <c r="C11" s="86"/>
      <c r="D11" s="86"/>
      <c r="E11" s="86"/>
      <c r="F11" s="86"/>
      <c r="G11" s="89"/>
      <c r="M11" s="96"/>
      <c r="N11" s="96"/>
      <c r="O11" s="96"/>
      <c r="P11" s="96"/>
      <c r="Q11" s="96"/>
      <c r="R11" s="88"/>
      <c r="S11" s="96"/>
      <c r="T11" s="96"/>
    </row>
    <row r="12" spans="1:29" x14ac:dyDescent="0.3">
      <c r="A12" s="111"/>
      <c r="B12" s="86"/>
      <c r="C12" s="86"/>
      <c r="D12" s="86"/>
      <c r="E12" s="86"/>
      <c r="F12" s="86"/>
      <c r="G12" s="89"/>
      <c r="M12" s="96"/>
      <c r="N12" s="96"/>
      <c r="O12" s="96"/>
      <c r="P12" s="96"/>
      <c r="Q12" s="96"/>
      <c r="R12" s="88"/>
      <c r="S12" s="96"/>
      <c r="T12" s="96"/>
    </row>
    <row r="13" spans="1:29" x14ac:dyDescent="0.3">
      <c r="A13" s="111"/>
      <c r="B13" s="86"/>
      <c r="C13" s="86"/>
      <c r="D13" s="86"/>
      <c r="E13" s="86"/>
      <c r="F13" s="86"/>
      <c r="G13" s="89"/>
      <c r="M13" s="96"/>
      <c r="N13" s="96"/>
      <c r="O13" s="96"/>
      <c r="P13" s="96"/>
      <c r="Q13" s="96"/>
      <c r="R13" s="88"/>
      <c r="S13" s="96"/>
      <c r="T13" s="96"/>
    </row>
    <row r="14" spans="1:29" x14ac:dyDescent="0.3">
      <c r="A14" s="90"/>
      <c r="C14" s="86"/>
      <c r="D14" s="86"/>
      <c r="E14" s="86"/>
      <c r="F14" s="86"/>
      <c r="G14" s="89"/>
      <c r="M14" s="96"/>
      <c r="N14" s="96"/>
      <c r="O14" s="96"/>
      <c r="P14" s="96"/>
      <c r="Q14" s="96"/>
      <c r="R14" s="88"/>
      <c r="S14" s="96"/>
      <c r="T14" s="96"/>
    </row>
    <row r="15" spans="1:29" x14ac:dyDescent="0.3">
      <c r="A15" s="111"/>
      <c r="C15" s="86"/>
      <c r="D15" s="86"/>
      <c r="E15" s="86"/>
      <c r="F15" s="86"/>
      <c r="G15" s="89"/>
      <c r="M15" s="96"/>
      <c r="N15" s="96"/>
      <c r="O15" s="96"/>
      <c r="P15" s="96"/>
      <c r="Q15" s="96"/>
      <c r="R15" s="88"/>
      <c r="S15" s="96"/>
      <c r="T15" s="96"/>
    </row>
    <row r="16" spans="1:29" x14ac:dyDescent="0.3">
      <c r="A16" s="111"/>
      <c r="C16" s="86"/>
      <c r="D16" s="86"/>
      <c r="E16" s="86"/>
      <c r="F16" s="86"/>
      <c r="G16" s="89"/>
    </row>
    <row r="17" spans="1:7" x14ac:dyDescent="0.3">
      <c r="A17" s="111"/>
      <c r="C17" s="86"/>
      <c r="D17" s="86"/>
      <c r="E17" s="86"/>
      <c r="F17" s="86"/>
      <c r="G17" s="89"/>
    </row>
    <row r="18" spans="1:7" x14ac:dyDescent="0.3">
      <c r="A18" s="111"/>
      <c r="C18" s="86"/>
      <c r="D18" s="86"/>
      <c r="E18" s="86"/>
      <c r="F18" s="86"/>
      <c r="G18" s="89"/>
    </row>
    <row r="19" spans="1:7" x14ac:dyDescent="0.3">
      <c r="A19" s="111"/>
      <c r="C19" s="86"/>
      <c r="D19" s="86"/>
      <c r="E19" s="86"/>
      <c r="F19" s="86"/>
      <c r="G19" s="89"/>
    </row>
    <row r="20" spans="1:7" x14ac:dyDescent="0.3">
      <c r="A20" s="111"/>
      <c r="C20" s="86"/>
      <c r="D20" s="86"/>
      <c r="E20" s="86"/>
      <c r="F20" s="86"/>
      <c r="G20" s="89"/>
    </row>
    <row r="21" spans="1:7" x14ac:dyDescent="0.3">
      <c r="A21" s="90"/>
      <c r="C21" s="86"/>
      <c r="D21" s="86"/>
      <c r="E21" s="86"/>
      <c r="F21" s="86"/>
      <c r="G21" s="89"/>
    </row>
    <row r="22" spans="1:7" x14ac:dyDescent="0.3">
      <c r="A22" s="90"/>
      <c r="C22" s="86"/>
      <c r="D22" s="86"/>
      <c r="E22" s="86"/>
      <c r="F22" s="86"/>
      <c r="G22" s="89"/>
    </row>
    <row r="23" spans="1:7" x14ac:dyDescent="0.3">
      <c r="A23" s="90"/>
      <c r="C23" s="86"/>
      <c r="D23" s="86"/>
      <c r="E23" s="86"/>
      <c r="F23" s="86"/>
      <c r="G23" s="89"/>
    </row>
    <row r="24" spans="1:7" x14ac:dyDescent="0.3">
      <c r="A24" s="90"/>
      <c r="C24" s="86"/>
      <c r="D24" s="86"/>
      <c r="E24" s="86"/>
      <c r="F24" s="86"/>
      <c r="G24" s="89"/>
    </row>
    <row r="25" spans="1:7" x14ac:dyDescent="0.3">
      <c r="A25" s="90"/>
      <c r="C25" s="86"/>
      <c r="D25" s="86"/>
      <c r="E25" s="86"/>
      <c r="F25" s="86"/>
      <c r="G25" s="89"/>
    </row>
  </sheetData>
  <conditionalFormatting sqref="A2:G2">
    <cfRule type="expression" dxfId="34" priority="111">
      <formula>$A2="Module 5"</formula>
    </cfRule>
    <cfRule type="expression" dxfId="33" priority="112">
      <formula>$A2="Module 4"</formula>
    </cfRule>
    <cfRule type="expression" dxfId="32" priority="114">
      <formula>$A2="Module 3"</formula>
    </cfRule>
    <cfRule type="expression" dxfId="31" priority="116">
      <formula>$A2="Module 2"</formula>
    </cfRule>
    <cfRule type="expression" dxfId="30" priority="117">
      <formula>$A2="Module 1"</formula>
    </cfRule>
  </conditionalFormatting>
  <conditionalFormatting sqref="A14:C14">
    <cfRule type="expression" dxfId="29" priority="101">
      <formula>$A14="Module 5"</formula>
    </cfRule>
    <cfRule type="expression" dxfId="28" priority="102">
      <formula>$A14="Module 4"</formula>
    </cfRule>
    <cfRule type="expression" dxfId="27" priority="103">
      <formula>$A14="Module 3"</formula>
    </cfRule>
    <cfRule type="expression" dxfId="26" priority="104">
      <formula>$A14="Module 2"</formula>
    </cfRule>
    <cfRule type="expression" dxfId="25" priority="105">
      <formula>$A14="Module 1"</formula>
    </cfRule>
  </conditionalFormatting>
  <conditionalFormatting sqref="A19:C19">
    <cfRule type="expression" dxfId="24" priority="1">
      <formula>$A19="Module 5"</formula>
    </cfRule>
    <cfRule type="expression" dxfId="23" priority="2">
      <formula>$A19="Module 4"</formula>
    </cfRule>
    <cfRule type="expression" dxfId="22" priority="3">
      <formula>$A19="Module 3"</formula>
    </cfRule>
    <cfRule type="expression" dxfId="21" priority="4">
      <formula>$A19="Module 2"</formula>
    </cfRule>
    <cfRule type="expression" dxfId="20" priority="5">
      <formula>$A19="Module 1"</formula>
    </cfRule>
  </conditionalFormatting>
  <dataValidations count="3">
    <dataValidation type="textLength" operator="equal" allowBlank="1" showInputMessage="1" showErrorMessage="1" sqref="M2:Q2 M3:M12 R2:T88" xr:uid="{00000000-0002-0000-0400-000000000000}">
      <formula1>0</formula1>
    </dataValidation>
    <dataValidation operator="equal" allowBlank="1" showInputMessage="1" showErrorMessage="1" sqref="D2:G2 A2:B2" xr:uid="{00000000-0002-0000-0400-000001000000}"/>
    <dataValidation operator="greaterThanOrEqual" allowBlank="1" showInputMessage="1" showErrorMessage="1" sqref="C2" xr:uid="{00000000-0002-0000-0400-000002000000}"/>
  </dataValidations>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dimension ref="A1:O17"/>
  <sheetViews>
    <sheetView workbookViewId="0">
      <selection activeCell="D1" sqref="D1"/>
    </sheetView>
  </sheetViews>
  <sheetFormatPr baseColWidth="10" defaultRowHeight="20.399999999999999" x14ac:dyDescent="0.35"/>
  <cols>
    <col min="1" max="1" width="1.88671875" customWidth="1"/>
    <col min="2" max="2" width="18.44140625" customWidth="1"/>
    <col min="3" max="3" width="19.88671875" customWidth="1"/>
    <col min="4" max="4" width="19.5546875" customWidth="1"/>
    <col min="5" max="5" width="26.77734375" customWidth="1"/>
    <col min="6" max="6" width="22" customWidth="1"/>
    <col min="7" max="7" width="20.88671875" customWidth="1"/>
    <col min="8" max="8" width="16.6640625" customWidth="1"/>
    <col min="14" max="16384" width="11.5546875" style="2"/>
  </cols>
  <sheetData>
    <row r="1" spans="1:15" s="1" customFormat="1" ht="23.4" x14ac:dyDescent="0.45">
      <c r="A1" s="51"/>
      <c r="B1" s="51"/>
      <c r="C1" s="51"/>
      <c r="D1" s="51"/>
      <c r="E1" s="51"/>
      <c r="F1" s="109" t="s">
        <v>29</v>
      </c>
      <c r="G1" s="51"/>
      <c r="H1" s="51"/>
      <c r="I1" s="51"/>
      <c r="J1" s="51"/>
      <c r="K1" s="51"/>
      <c r="L1" s="51"/>
      <c r="M1" s="51"/>
      <c r="N1" s="51"/>
      <c r="O1" s="51"/>
    </row>
    <row r="2" spans="1:15" s="1" customFormat="1" ht="14.4" x14ac:dyDescent="0.3">
      <c r="A2" s="51"/>
      <c r="B2" s="51"/>
      <c r="C2" s="51"/>
      <c r="D2" s="51"/>
      <c r="E2" s="51"/>
      <c r="F2" s="51"/>
      <c r="G2" s="51"/>
      <c r="H2" s="51"/>
      <c r="I2" s="51"/>
      <c r="J2" s="51"/>
      <c r="K2" s="51"/>
      <c r="L2" s="51"/>
      <c r="M2" s="51"/>
      <c r="N2" s="51"/>
      <c r="O2" s="51"/>
    </row>
    <row r="3" spans="1:15" s="1" customFormat="1" ht="36" customHeight="1" thickBot="1" x14ac:dyDescent="1.05">
      <c r="A3" s="51"/>
      <c r="B3" s="57" t="s">
        <v>14</v>
      </c>
      <c r="C3" s="58"/>
      <c r="D3" s="59"/>
      <c r="E3" s="56" t="s">
        <v>133</v>
      </c>
      <c r="F3" s="60" t="s">
        <v>134</v>
      </c>
      <c r="G3" s="51"/>
      <c r="H3" s="51"/>
      <c r="I3" s="51"/>
      <c r="J3" s="51"/>
      <c r="K3" s="51"/>
      <c r="L3" s="51"/>
      <c r="M3" s="51"/>
      <c r="N3" s="51"/>
      <c r="O3" s="51"/>
    </row>
    <row r="4" spans="1:15" s="1" customFormat="1" ht="45" x14ac:dyDescent="0.75">
      <c r="A4" s="51"/>
      <c r="B4" s="51"/>
      <c r="C4" s="61" t="s">
        <v>135</v>
      </c>
      <c r="D4" s="51"/>
      <c r="E4" s="51"/>
      <c r="F4" s="51"/>
      <c r="G4" s="51"/>
      <c r="H4" s="51"/>
      <c r="I4" s="51"/>
      <c r="J4" s="51"/>
      <c r="K4" s="51"/>
      <c r="L4" s="51"/>
      <c r="M4" s="51"/>
      <c r="N4" s="51"/>
      <c r="O4" s="51"/>
    </row>
    <row r="5" spans="1:15" s="1" customFormat="1" ht="7.8" customHeight="1" x14ac:dyDescent="0.3">
      <c r="A5" s="51"/>
      <c r="B5" s="51"/>
      <c r="C5" s="51"/>
      <c r="D5" s="51"/>
      <c r="E5" s="51"/>
      <c r="F5" s="51"/>
      <c r="G5" s="51"/>
      <c r="H5" s="51"/>
      <c r="I5" s="51"/>
      <c r="J5" s="51"/>
      <c r="K5" s="51"/>
      <c r="L5" s="51"/>
      <c r="M5" s="51"/>
      <c r="N5" s="51"/>
      <c r="O5" s="51"/>
    </row>
    <row r="6" spans="1:15" s="1" customFormat="1" ht="20.399999999999999" customHeight="1" x14ac:dyDescent="0.3">
      <c r="A6" s="51"/>
      <c r="B6" s="62" t="s">
        <v>5</v>
      </c>
      <c r="C6" s="63">
        <v>2022</v>
      </c>
      <c r="D6" s="62">
        <v>24</v>
      </c>
      <c r="E6" s="51"/>
      <c r="F6" s="51"/>
      <c r="G6" s="51"/>
      <c r="H6" s="51"/>
      <c r="I6" s="51"/>
      <c r="J6" s="51"/>
      <c r="K6" s="51"/>
      <c r="L6" s="51"/>
      <c r="M6" s="51"/>
      <c r="N6" s="51"/>
      <c r="O6" s="51"/>
    </row>
    <row r="7" spans="1:15" s="1" customFormat="1" ht="14.4" x14ac:dyDescent="0.3">
      <c r="A7" s="51"/>
      <c r="B7" s="52" t="s">
        <v>13</v>
      </c>
      <c r="C7" s="53">
        <f>B9</f>
        <v>44725</v>
      </c>
      <c r="D7" s="51"/>
      <c r="E7" s="51"/>
      <c r="F7" s="51"/>
      <c r="G7" s="52" t="s">
        <v>13</v>
      </c>
      <c r="H7" s="53">
        <f>H9</f>
        <v>44731</v>
      </c>
      <c r="I7" s="51"/>
      <c r="J7" s="51"/>
      <c r="K7" s="51"/>
      <c r="L7" s="51"/>
      <c r="M7" s="51"/>
      <c r="N7" s="51"/>
      <c r="O7" s="51"/>
    </row>
    <row r="8" spans="1:15" x14ac:dyDescent="0.35">
      <c r="A8" s="54"/>
      <c r="B8" s="54" t="s">
        <v>6</v>
      </c>
      <c r="C8" s="54" t="s">
        <v>7</v>
      </c>
      <c r="D8" s="54" t="s">
        <v>8</v>
      </c>
      <c r="E8" s="54" t="s">
        <v>9</v>
      </c>
      <c r="F8" s="54" t="s">
        <v>10</v>
      </c>
      <c r="G8" s="54" t="s">
        <v>11</v>
      </c>
      <c r="H8" s="54" t="s">
        <v>12</v>
      </c>
      <c r="I8" s="54"/>
      <c r="J8" s="54"/>
      <c r="K8" s="54"/>
      <c r="L8" s="54"/>
      <c r="M8" s="54"/>
      <c r="N8" s="54"/>
      <c r="O8" s="54"/>
    </row>
    <row r="9" spans="1:15" x14ac:dyDescent="0.35">
      <c r="A9" s="54"/>
      <c r="B9" s="55">
        <f>(D6-1)*7+IF(WEEKDAY(DATE(C6,1,1),2)&gt;4,7,0)+DATE(C6,1,1)-WEEKDAY(DATE(C6,1,1),2)+1</f>
        <v>44725</v>
      </c>
      <c r="C9" s="55">
        <f t="shared" ref="C9:H9" si="0">B9+1</f>
        <v>44726</v>
      </c>
      <c r="D9" s="55">
        <f t="shared" si="0"/>
        <v>44727</v>
      </c>
      <c r="E9" s="55">
        <f t="shared" si="0"/>
        <v>44728</v>
      </c>
      <c r="F9" s="55">
        <f>E9+1</f>
        <v>44729</v>
      </c>
      <c r="G9" s="55">
        <f t="shared" si="0"/>
        <v>44730</v>
      </c>
      <c r="H9" s="55">
        <f t="shared" si="0"/>
        <v>44731</v>
      </c>
      <c r="I9" s="54"/>
      <c r="J9" s="54"/>
      <c r="K9" s="54"/>
      <c r="L9" s="54"/>
      <c r="M9" s="54"/>
      <c r="N9" s="54"/>
      <c r="O9" s="54"/>
    </row>
    <row r="10" spans="1:15" ht="23.4" customHeight="1" x14ac:dyDescent="0.35">
      <c r="A10">
        <v>1</v>
      </c>
      <c r="H10" s="112"/>
    </row>
    <row r="16" spans="1:15" x14ac:dyDescent="0.35">
      <c r="A16">
        <v>7</v>
      </c>
    </row>
    <row r="17" spans="1:1" x14ac:dyDescent="0.35">
      <c r="A17">
        <v>8</v>
      </c>
    </row>
  </sheetData>
  <dataValidations count="2">
    <dataValidation type="textLength" operator="equal" allowBlank="1" showInputMessage="1" showErrorMessage="1" sqref="B73:B1048576 J1:XFD1048576 I73:I1048576 H73:H1048576 A1:A9 A16:A1048576 B1:I72" xr:uid="{00000000-0002-0000-0500-000000000000}">
      <formula1>0</formula1>
    </dataValidation>
    <dataValidation operator="equal" allowBlank="1" showInputMessage="1" showErrorMessage="1" sqref="D73:F1048576 C73:C1048576 G73:G1048576" xr:uid="{00000000-0002-0000-0500-000001000000}"/>
  </dataValidations>
  <pageMargins left="0.7" right="0.7" top="0.75" bottom="0.75" header="0.3" footer="0.3"/>
  <drawing r:id="rId1"/>
  <legacyDrawing r:id="rId2"/>
  <controls>
    <mc:AlternateContent xmlns:mc="http://schemas.openxmlformats.org/markup-compatibility/2006">
      <mc:Choice Requires="x14">
        <control shapeId="1026" r:id="rId3" name="Label1">
          <controlPr defaultSize="0" autoLine="0" r:id="rId4">
            <anchor moveWithCells="1">
              <from>
                <xdr:col>3</xdr:col>
                <xdr:colOff>266700</xdr:colOff>
                <xdr:row>5</xdr:row>
                <xdr:rowOff>53340</xdr:rowOff>
              </from>
              <to>
                <xdr:col>3</xdr:col>
                <xdr:colOff>1097280</xdr:colOff>
                <xdr:row>5</xdr:row>
                <xdr:rowOff>251460</xdr:rowOff>
              </to>
            </anchor>
          </controlPr>
        </control>
      </mc:Choice>
      <mc:Fallback>
        <control shapeId="1026" r:id="rId3" name="Label1"/>
      </mc:Fallback>
    </mc:AlternateContent>
    <mc:AlternateContent xmlns:mc="http://schemas.openxmlformats.org/markup-compatibility/2006">
      <mc:Choice Requires="x14">
        <control shapeId="1025" r:id="rId5" name="Spinner 1">
          <controlPr defaultSize="0" autoPict="0" macro="[0]!programme_par_semaine">
            <anchor moveWithCells="1" sizeWithCells="1">
              <from>
                <xdr:col>4</xdr:col>
                <xdr:colOff>0</xdr:colOff>
                <xdr:row>5</xdr:row>
                <xdr:rowOff>7620</xdr:rowOff>
              </from>
              <to>
                <xdr:col>4</xdr:col>
                <xdr:colOff>91440</xdr:colOff>
                <xdr:row>6</xdr:row>
                <xdr:rowOff>15240</xdr:rowOff>
              </to>
            </anchor>
          </controlPr>
        </control>
      </mc:Choice>
    </mc:AlternateContent>
    <mc:AlternateContent xmlns:mc="http://schemas.openxmlformats.org/markup-compatibility/2006">
      <mc:Choice Requires="x14">
        <control shapeId="1029" r:id="rId6" name="Spinner 5">
          <controlPr defaultSize="0" autoPict="0" macro="[0]!programme_par_semaine">
            <anchor moveWithCells="1" sizeWithCells="1">
              <from>
                <xdr:col>2</xdr:col>
                <xdr:colOff>373380</xdr:colOff>
                <xdr:row>5</xdr:row>
                <xdr:rowOff>7620</xdr:rowOff>
              </from>
              <to>
                <xdr:col>2</xdr:col>
                <xdr:colOff>464820</xdr:colOff>
                <xdr:row>6</xdr:row>
                <xdr:rowOff>15240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B2:K13"/>
  <sheetViews>
    <sheetView workbookViewId="0">
      <selection activeCell="L3" sqref="L3"/>
    </sheetView>
  </sheetViews>
  <sheetFormatPr baseColWidth="10" defaultRowHeight="14.4" x14ac:dyDescent="0.3"/>
  <cols>
    <col min="1" max="1" width="11.5546875" style="9"/>
    <col min="2" max="2" width="11.6640625" style="9" customWidth="1"/>
    <col min="3" max="3" width="4.33203125" style="9" customWidth="1"/>
    <col min="4" max="8" width="11.5546875" style="9"/>
    <col min="9" max="9" width="13.6640625" style="9" bestFit="1" customWidth="1"/>
    <col min="10" max="10" width="4.33203125" style="9" customWidth="1"/>
    <col min="11" max="11" width="13.6640625" style="9" bestFit="1" customWidth="1"/>
    <col min="12" max="16384" width="11.5546875" style="9"/>
  </cols>
  <sheetData>
    <row r="2" spans="2:11" ht="15.6" thickBot="1" x14ac:dyDescent="0.4">
      <c r="K2" s="108" t="s">
        <v>154</v>
      </c>
    </row>
    <row r="3" spans="2:11" ht="69.599999999999994" thickTop="1" thickBot="1" x14ac:dyDescent="1.75">
      <c r="B3" s="64"/>
      <c r="C3" s="65" t="s">
        <v>14</v>
      </c>
      <c r="D3" s="66"/>
      <c r="E3" s="66"/>
      <c r="F3" s="66"/>
      <c r="G3" s="66"/>
      <c r="H3" s="66"/>
      <c r="I3" s="67"/>
      <c r="J3" s="71"/>
      <c r="K3" s="72"/>
    </row>
    <row r="4" spans="2:11" ht="15" thickTop="1" x14ac:dyDescent="0.3"/>
    <row r="10" spans="2:11" ht="2.4" customHeight="1" x14ac:dyDescent="0.3">
      <c r="B10" s="106"/>
      <c r="C10" s="100"/>
      <c r="D10" s="100"/>
      <c r="E10" s="100"/>
      <c r="F10" s="100"/>
      <c r="G10" s="100"/>
      <c r="H10" s="100"/>
      <c r="I10" s="100"/>
      <c r="J10" s="100"/>
      <c r="K10" s="103"/>
    </row>
    <row r="11" spans="2:11" ht="17.399999999999999" x14ac:dyDescent="0.3">
      <c r="B11" s="105"/>
      <c r="C11" s="16"/>
      <c r="D11" s="98" t="s">
        <v>177</v>
      </c>
      <c r="E11" s="101"/>
      <c r="F11" s="101"/>
      <c r="G11" s="101"/>
      <c r="H11" s="101"/>
      <c r="I11" s="16"/>
      <c r="J11" s="16"/>
      <c r="K11" s="99">
        <f ca="1">TODAY()</f>
        <v>44980</v>
      </c>
    </row>
    <row r="12" spans="2:11" ht="3" customHeight="1" x14ac:dyDescent="0.3">
      <c r="B12" s="107"/>
      <c r="C12" s="102"/>
      <c r="D12" s="102"/>
      <c r="E12" s="102"/>
      <c r="F12" s="102"/>
      <c r="G12" s="102"/>
      <c r="H12" s="102"/>
      <c r="I12" s="102"/>
      <c r="J12" s="102"/>
      <c r="K12" s="104"/>
    </row>
    <row r="13" spans="2:11" ht="39.6" x14ac:dyDescent="0.3">
      <c r="B13" s="70" t="s">
        <v>131</v>
      </c>
      <c r="C13" s="69"/>
    </row>
  </sheetData>
  <dataValidations count="1">
    <dataValidation type="textLength" operator="equal" allowBlank="1" showInputMessage="1" showErrorMessage="1" sqref="N1:N32 A1:M49" xr:uid="{00000000-0002-0000-0600-000000000000}">
      <formula1>0</formula1>
    </dataValidation>
  </dataValidation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4"/>
  <dimension ref="B2:L21"/>
  <sheetViews>
    <sheetView workbookViewId="0">
      <selection activeCell="H2" sqref="H2"/>
    </sheetView>
  </sheetViews>
  <sheetFormatPr baseColWidth="10" defaultRowHeight="14.4" x14ac:dyDescent="0.3"/>
  <cols>
    <col min="1" max="2" width="11.5546875" style="9"/>
    <col min="3" max="3" width="4.33203125" style="9" customWidth="1"/>
    <col min="4" max="4" width="11.5546875" style="9"/>
    <col min="5" max="5" width="17.21875" style="9" customWidth="1"/>
    <col min="6" max="6" width="17.109375" style="9" bestFit="1" customWidth="1"/>
    <col min="7" max="16384" width="11.5546875" style="9"/>
  </cols>
  <sheetData>
    <row r="2" spans="2:12" ht="15" thickBot="1" x14ac:dyDescent="0.35"/>
    <row r="3" spans="2:12" ht="69.599999999999994" thickTop="1" thickBot="1" x14ac:dyDescent="1.75">
      <c r="B3" s="64"/>
      <c r="C3" s="65" t="s">
        <v>14</v>
      </c>
      <c r="D3" s="66"/>
      <c r="E3" s="66"/>
      <c r="F3" s="66"/>
      <c r="G3" s="66"/>
      <c r="H3" s="66"/>
      <c r="I3" s="67"/>
      <c r="J3" s="71"/>
    </row>
    <row r="4" spans="2:12" ht="48" thickTop="1" x14ac:dyDescent="0.95">
      <c r="E4" s="34" t="s">
        <v>136</v>
      </c>
      <c r="F4" s="33"/>
    </row>
    <row r="6" spans="2:12" ht="25.8" x14ac:dyDescent="0.3">
      <c r="E6" s="73" t="s">
        <v>137</v>
      </c>
      <c r="F6" s="78">
        <v>44724</v>
      </c>
      <c r="G6" s="3"/>
      <c r="H6" s="3"/>
    </row>
    <row r="7" spans="2:12" ht="4.2" customHeight="1" x14ac:dyDescent="0.3"/>
    <row r="8" spans="2:12" ht="34.799999999999997" customHeight="1" x14ac:dyDescent="0.3">
      <c r="E8" s="74" t="s">
        <v>138</v>
      </c>
      <c r="F8" s="40" t="s">
        <v>175</v>
      </c>
      <c r="G8" s="3"/>
      <c r="H8" s="3"/>
    </row>
    <row r="9" spans="2:12" ht="4.2" customHeight="1" x14ac:dyDescent="0.3">
      <c r="C9" s="68"/>
    </row>
    <row r="10" spans="2:12" ht="51.6" x14ac:dyDescent="0.3">
      <c r="E10" s="75" t="s">
        <v>139</v>
      </c>
      <c r="F10" s="75" t="s">
        <v>143</v>
      </c>
      <c r="G10" s="81" t="s">
        <v>148</v>
      </c>
      <c r="H10" s="82" t="s">
        <v>171</v>
      </c>
    </row>
    <row r="11" spans="2:12" ht="30.6" x14ac:dyDescent="0.65">
      <c r="E11" s="34" t="s">
        <v>140</v>
      </c>
    </row>
    <row r="13" spans="2:12" ht="42" x14ac:dyDescent="0.3">
      <c r="E13" s="74" t="s">
        <v>138</v>
      </c>
      <c r="F13" s="40" t="s">
        <v>175</v>
      </c>
      <c r="G13" s="3"/>
      <c r="H13" s="3"/>
    </row>
    <row r="14" spans="2:12" ht="21" x14ac:dyDescent="0.3">
      <c r="E14" s="79" t="s">
        <v>131</v>
      </c>
      <c r="F14" s="80" t="s">
        <v>172</v>
      </c>
      <c r="G14" s="3"/>
      <c r="H14" s="4"/>
    </row>
    <row r="15" spans="2:12" x14ac:dyDescent="0.3">
      <c r="L15" s="82" t="str">
        <f t="shared" ref="L15" ca="1" si="0">IF(K15&lt;TODAY(),"Non Lu",IF(K15&gt;TODAY(),"Jour pas arrivé","Non lu"))</f>
        <v>Non Lu</v>
      </c>
    </row>
    <row r="16" spans="2:12" ht="25.8" x14ac:dyDescent="0.3">
      <c r="E16" s="77" t="s">
        <v>142</v>
      </c>
      <c r="F16" s="76">
        <v>44724</v>
      </c>
      <c r="G16" s="83" t="str">
        <f t="shared" ref="G16:G20" ca="1" si="1">IF(F16&lt;TODAY(),"Non Lu",IF(F16&gt;TODAY(),"Jour pas arrivé","Non lu"))</f>
        <v>Non Lu</v>
      </c>
      <c r="H16" s="73"/>
    </row>
    <row r="17" spans="5:10" ht="25.8" x14ac:dyDescent="0.3">
      <c r="E17" s="77" t="s">
        <v>144</v>
      </c>
      <c r="F17" s="76">
        <f>F16+3</f>
        <v>44727</v>
      </c>
      <c r="G17" s="83" t="str">
        <f t="shared" ca="1" si="1"/>
        <v>Non Lu</v>
      </c>
      <c r="H17" s="73"/>
    </row>
    <row r="18" spans="5:10" ht="25.8" x14ac:dyDescent="0.3">
      <c r="E18" s="77" t="s">
        <v>145</v>
      </c>
      <c r="F18" s="76">
        <f>F16+10</f>
        <v>44734</v>
      </c>
      <c r="G18" s="83" t="str">
        <f t="shared" ca="1" si="1"/>
        <v>Non Lu</v>
      </c>
      <c r="H18" s="73"/>
    </row>
    <row r="19" spans="5:10" ht="26.4" thickBot="1" x14ac:dyDescent="0.35">
      <c r="E19" s="77" t="s">
        <v>146</v>
      </c>
      <c r="F19" s="76">
        <f>F16+30</f>
        <v>44754</v>
      </c>
      <c r="G19" s="83" t="str">
        <f t="shared" ca="1" si="1"/>
        <v>Non Lu</v>
      </c>
      <c r="H19" s="73"/>
    </row>
    <row r="20" spans="5:10" ht="27" thickTop="1" thickBot="1" x14ac:dyDescent="0.35">
      <c r="E20" s="77" t="s">
        <v>147</v>
      </c>
      <c r="F20" s="76">
        <f>F16+60</f>
        <v>44784</v>
      </c>
      <c r="G20" s="83" t="str">
        <f t="shared" ca="1" si="1"/>
        <v>Non Lu</v>
      </c>
      <c r="H20" s="73"/>
      <c r="J20" s="84" t="s">
        <v>154</v>
      </c>
    </row>
    <row r="21" spans="5:10" ht="15" thickTop="1" x14ac:dyDescent="0.3"/>
  </sheetData>
  <dataValidations count="1">
    <dataValidation type="textLength" operator="equal" allowBlank="1" showInputMessage="1" showErrorMessage="1" sqref="A1:L31" xr:uid="{00000000-0002-0000-0700-000000000000}">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67" r:id="rId4" name="OptionButton3">
          <controlPr locked="0" defaultSize="0" autoLine="0" autoPict="0" r:id="rId5">
            <anchor moveWithCells="1">
              <from>
                <xdr:col>5</xdr:col>
                <xdr:colOff>502920</xdr:colOff>
                <xdr:row>9</xdr:row>
                <xdr:rowOff>45720</xdr:rowOff>
              </from>
              <to>
                <xdr:col>5</xdr:col>
                <xdr:colOff>678180</xdr:colOff>
                <xdr:row>9</xdr:row>
                <xdr:rowOff>320040</xdr:rowOff>
              </to>
            </anchor>
          </controlPr>
        </control>
      </mc:Choice>
      <mc:Fallback>
        <control shapeId="11267" r:id="rId4" name="OptionButton3"/>
      </mc:Fallback>
    </mc:AlternateContent>
    <mc:AlternateContent xmlns:mc="http://schemas.openxmlformats.org/markup-compatibility/2006">
      <mc:Choice Requires="x14">
        <control shapeId="11268" r:id="rId6" name="OptionButton4">
          <controlPr locked="0" defaultSize="0" autoLine="0" autoPict="0" r:id="rId7">
            <anchor moveWithCells="1">
              <from>
                <xdr:col>5</xdr:col>
                <xdr:colOff>495300</xdr:colOff>
                <xdr:row>9</xdr:row>
                <xdr:rowOff>403860</xdr:rowOff>
              </from>
              <to>
                <xdr:col>5</xdr:col>
                <xdr:colOff>693420</xdr:colOff>
                <xdr:row>9</xdr:row>
                <xdr:rowOff>586740</xdr:rowOff>
              </to>
            </anchor>
          </controlPr>
        </control>
      </mc:Choice>
      <mc:Fallback>
        <control shapeId="11268" r:id="rId6" name="OptionButton4"/>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2</vt:i4>
      </vt:variant>
    </vt:vector>
  </HeadingPairs>
  <TitlesOfParts>
    <vt:vector size="10" baseType="lpstr">
      <vt:lpstr>Page</vt:lpstr>
      <vt:lpstr>Inscription</vt:lpstr>
      <vt:lpstr>Base_de_données</vt:lpstr>
      <vt:lpstr>Analyse</vt:lpstr>
      <vt:lpstr>Programme_de_cours</vt:lpstr>
      <vt:lpstr>Programme_semaine</vt:lpstr>
      <vt:lpstr>Progression</vt:lpstr>
      <vt:lpstr>Lecture</vt:lpstr>
      <vt:lpstr>Jour_semaine</vt:lpstr>
      <vt:lpstr>Matieres_prog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Benie</dc:creator>
  <cp:lastModifiedBy>LENOVO</cp:lastModifiedBy>
  <dcterms:created xsi:type="dcterms:W3CDTF">2022-05-21T19:40:52Z</dcterms:created>
  <dcterms:modified xsi:type="dcterms:W3CDTF">2023-02-23T08:22:29Z</dcterms:modified>
</cp:coreProperties>
</file>